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ede/Documents/"/>
    </mc:Choice>
  </mc:AlternateContent>
  <xr:revisionPtr revIDLastSave="0" documentId="13_ncr:1_{7405DD8D-8604-964F-BA7B-926D9D679F0E}" xr6:coauthVersionLast="47" xr6:coauthVersionMax="47" xr10:uidLastSave="{00000000-0000-0000-0000-000000000000}"/>
  <bookViews>
    <workbookView xWindow="7000" yWindow="520" windowWidth="21420" windowHeight="16400" activeTab="7" xr2:uid="{DBED4BE5-086B-D449-89E0-9620518BB213}"/>
  </bookViews>
  <sheets>
    <sheet name="Function 1" sheetId="1" r:id="rId1"/>
    <sheet name="Function 2" sheetId="2" r:id="rId2"/>
    <sheet name="Function 3" sheetId="3" r:id="rId3"/>
    <sheet name="Function 4" sheetId="4" r:id="rId4"/>
    <sheet name="Function 5" sheetId="5" r:id="rId5"/>
    <sheet name="Function 6" sheetId="6" r:id="rId6"/>
    <sheet name="Function 7" sheetId="7" r:id="rId7"/>
    <sheet name="Func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8" l="1"/>
  <c r="AA5" i="8"/>
  <c r="Y6" i="7"/>
  <c r="Y5" i="7"/>
  <c r="Y7" i="6"/>
  <c r="Y6" i="6"/>
  <c r="X7" i="5"/>
  <c r="X6" i="5"/>
  <c r="X7" i="4"/>
  <c r="X6" i="4"/>
  <c r="W8" i="3"/>
  <c r="W7" i="3"/>
  <c r="X8" i="2"/>
  <c r="X7" i="2"/>
  <c r="Y10" i="1"/>
  <c r="Y9" i="1"/>
  <c r="Y8" i="1"/>
  <c r="Z6" i="8"/>
  <c r="Z5" i="8"/>
  <c r="X6" i="7"/>
  <c r="X5" i="7"/>
  <c r="X7" i="6"/>
  <c r="X6" i="6"/>
  <c r="W7" i="5"/>
  <c r="W6" i="5"/>
  <c r="W7" i="4"/>
  <c r="W6" i="4"/>
  <c r="V8" i="3"/>
  <c r="V7" i="3"/>
  <c r="W8" i="2"/>
  <c r="W7" i="2"/>
  <c r="X10" i="1"/>
  <c r="X9" i="1"/>
  <c r="X8" i="1"/>
  <c r="Y6" i="8"/>
  <c r="Y5" i="8"/>
  <c r="W6" i="7"/>
  <c r="W5" i="7"/>
  <c r="W7" i="6"/>
  <c r="W6" i="6"/>
  <c r="V7" i="5"/>
  <c r="V6" i="5"/>
  <c r="V7" i="4"/>
  <c r="V6" i="4"/>
  <c r="U8" i="3"/>
  <c r="U7" i="3"/>
  <c r="V8" i="2"/>
  <c r="V7" i="2"/>
  <c r="W10" i="1"/>
  <c r="W9" i="1"/>
  <c r="W8" i="1"/>
  <c r="X6" i="8"/>
  <c r="W6" i="8"/>
  <c r="V6" i="8"/>
  <c r="U6" i="8"/>
  <c r="T6" i="8"/>
  <c r="S6" i="8"/>
  <c r="R6" i="8"/>
  <c r="Q6" i="8"/>
  <c r="P6" i="8"/>
  <c r="O6" i="8"/>
  <c r="V6" i="7"/>
  <c r="U6" i="7"/>
  <c r="T6" i="7"/>
  <c r="S6" i="7"/>
  <c r="R6" i="7"/>
  <c r="Q6" i="7"/>
  <c r="P6" i="7"/>
  <c r="O6" i="7"/>
  <c r="N6" i="7"/>
  <c r="M6" i="7"/>
  <c r="X5" i="8"/>
  <c r="V5" i="7"/>
  <c r="V7" i="6"/>
  <c r="U7" i="6"/>
  <c r="T7" i="6"/>
  <c r="S7" i="6"/>
  <c r="R7" i="6"/>
  <c r="Q7" i="6"/>
  <c r="P7" i="6"/>
  <c r="O7" i="6"/>
  <c r="N7" i="6"/>
  <c r="M7" i="6"/>
  <c r="V6" i="6"/>
  <c r="U7" i="5"/>
  <c r="T7" i="5"/>
  <c r="S7" i="5"/>
  <c r="R7" i="5"/>
  <c r="Q7" i="5"/>
  <c r="P7" i="5"/>
  <c r="O7" i="5"/>
  <c r="N7" i="5"/>
  <c r="M7" i="5"/>
  <c r="L7" i="5"/>
  <c r="U6" i="5"/>
  <c r="U7" i="4"/>
  <c r="U6" i="4"/>
  <c r="T8" i="3"/>
  <c r="T7" i="3"/>
  <c r="U8" i="2"/>
  <c r="T8" i="2"/>
  <c r="S8" i="2"/>
  <c r="R8" i="2"/>
  <c r="Q8" i="2"/>
  <c r="P8" i="2"/>
  <c r="O8" i="2"/>
  <c r="N8" i="2"/>
  <c r="M8" i="2"/>
  <c r="L8" i="2"/>
  <c r="U7" i="2"/>
  <c r="V10" i="1"/>
  <c r="V9" i="1"/>
  <c r="V8" i="1"/>
  <c r="W5" i="8"/>
  <c r="U5" i="7"/>
  <c r="U6" i="6"/>
  <c r="T6" i="5"/>
  <c r="T7" i="4"/>
  <c r="T6" i="4"/>
  <c r="S8" i="3"/>
  <c r="S7" i="3"/>
  <c r="U10" i="1"/>
  <c r="T10" i="1"/>
  <c r="S10" i="1"/>
  <c r="R10" i="1"/>
  <c r="Q10" i="1"/>
  <c r="P10" i="1"/>
  <c r="O10" i="1"/>
  <c r="N10" i="1"/>
  <c r="M10" i="1"/>
  <c r="T7" i="2"/>
  <c r="U9" i="1"/>
  <c r="U8" i="1"/>
  <c r="V5" i="8"/>
  <c r="T5" i="7"/>
  <c r="T6" i="6"/>
  <c r="S6" i="5"/>
  <c r="S7" i="4"/>
  <c r="S6" i="4"/>
  <c r="R8" i="3"/>
  <c r="R7" i="3"/>
  <c r="S7" i="2"/>
  <c r="T9" i="1"/>
  <c r="T8" i="1"/>
  <c r="R7" i="4"/>
  <c r="Q7" i="4"/>
  <c r="P7" i="4"/>
  <c r="O7" i="4"/>
  <c r="N7" i="4"/>
  <c r="M7" i="4"/>
  <c r="L7" i="4"/>
  <c r="Q8" i="3"/>
  <c r="P8" i="3"/>
  <c r="O8" i="3"/>
  <c r="N8" i="3"/>
  <c r="M8" i="3"/>
  <c r="L8" i="3"/>
  <c r="K8" i="3"/>
  <c r="S9" i="1"/>
  <c r="R9" i="1"/>
  <c r="Q9" i="1"/>
  <c r="P9" i="1"/>
  <c r="O9" i="1"/>
  <c r="N9" i="1"/>
  <c r="M9" i="1"/>
  <c r="L9" i="1"/>
  <c r="U5" i="8"/>
  <c r="S5" i="7"/>
  <c r="S6" i="6"/>
  <c r="R6" i="5"/>
  <c r="R6" i="4"/>
  <c r="Q7" i="3"/>
  <c r="R7" i="2"/>
  <c r="S8" i="1"/>
  <c r="T5" i="8"/>
  <c r="R5" i="7"/>
  <c r="R6" i="6"/>
  <c r="Q6" i="5"/>
  <c r="Q6" i="4"/>
  <c r="P7" i="3"/>
  <c r="Q7" i="2"/>
  <c r="R8" i="1"/>
  <c r="S5" i="8"/>
  <c r="Q5" i="7"/>
  <c r="Q6" i="6"/>
  <c r="P6" i="5"/>
  <c r="P6" i="4"/>
  <c r="O7" i="3"/>
  <c r="P7" i="2"/>
  <c r="Q8" i="1"/>
  <c r="R5" i="8"/>
  <c r="P5" i="7"/>
  <c r="P6" i="6"/>
  <c r="O6" i="5"/>
  <c r="O6" i="4"/>
  <c r="N7" i="3"/>
  <c r="O7" i="2"/>
  <c r="P8" i="1"/>
  <c r="Q5" i="8"/>
  <c r="O5" i="7"/>
  <c r="O6" i="6"/>
  <c r="N6" i="5"/>
  <c r="N6" i="4"/>
  <c r="M7" i="3"/>
  <c r="N7" i="2"/>
  <c r="O8" i="1"/>
  <c r="P5" i="8"/>
  <c r="N5" i="7"/>
  <c r="N6" i="6"/>
  <c r="M6" i="5"/>
  <c r="M6" i="4"/>
  <c r="L7" i="3"/>
  <c r="M7" i="2"/>
  <c r="N8" i="1"/>
  <c r="H16" i="1"/>
  <c r="H5" i="1"/>
  <c r="H15" i="1"/>
  <c r="H14" i="1"/>
  <c r="H13" i="1"/>
  <c r="H12" i="1"/>
  <c r="H11" i="1"/>
  <c r="H10" i="1"/>
  <c r="H9" i="1"/>
  <c r="H8" i="1"/>
  <c r="H7" i="1"/>
  <c r="H6" i="1"/>
  <c r="M8" i="1" s="1"/>
  <c r="O5" i="8"/>
  <c r="N5" i="8"/>
  <c r="M5" i="7"/>
  <c r="L5" i="7"/>
  <c r="M6" i="6"/>
  <c r="L6" i="6"/>
  <c r="L6" i="5"/>
  <c r="K6" i="5"/>
  <c r="L6" i="4"/>
  <c r="K6" i="4"/>
  <c r="K7" i="3"/>
  <c r="J7" i="3"/>
  <c r="L7" i="2"/>
  <c r="K7" i="2"/>
  <c r="L8" i="1" l="1"/>
</calcChain>
</file>

<file path=xl/sharedStrings.xml><?xml version="1.0" encoding="utf-8"?>
<sst xmlns="http://schemas.openxmlformats.org/spreadsheetml/2006/main" count="186" uniqueCount="49">
  <si>
    <t>Input 1</t>
  </si>
  <si>
    <t>Input 2</t>
  </si>
  <si>
    <t>Output</t>
  </si>
  <si>
    <t>Initial Maximum</t>
  </si>
  <si>
    <t>Submission 1</t>
  </si>
  <si>
    <t>Initial Data</t>
  </si>
  <si>
    <t>Input 3</t>
  </si>
  <si>
    <t> 0.666667</t>
  </si>
  <si>
    <t>Input 4</t>
  </si>
  <si>
    <t> 0.836735</t>
  </si>
  <si>
    <t>Input 5</t>
  </si>
  <si>
    <t>Input 6</t>
  </si>
  <si>
    <t> 0.272727</t>
  </si>
  <si>
    <t>Initial Max</t>
  </si>
  <si>
    <t>Input 7</t>
  </si>
  <si>
    <t>Input 8</t>
  </si>
  <si>
    <t>Initial data</t>
  </si>
  <si>
    <t> 0.810000</t>
  </si>
  <si>
    <t>Submission 2</t>
  </si>
  <si>
    <t>Submission2</t>
  </si>
  <si>
    <t> 0.408163</t>
  </si>
  <si>
    <t>Submisssion 2</t>
  </si>
  <si>
    <t> 0.051058</t>
  </si>
  <si>
    <t> 0.996631</t>
  </si>
  <si>
    <t>Submission 3</t>
  </si>
  <si>
    <t>Submission 4</t>
  </si>
  <si>
    <t> 0.938590</t>
  </si>
  <si>
    <t> 0.025014</t>
  </si>
  <si>
    <t>Submission 5</t>
  </si>
  <si>
    <t> 0.579068</t>
  </si>
  <si>
    <t> 0.040041</t>
  </si>
  <si>
    <t> 0.445985</t>
  </si>
  <si>
    <t>Submission 6</t>
  </si>
  <si>
    <t> 0.404112</t>
  </si>
  <si>
    <t>Submission 7</t>
  </si>
  <si>
    <t> 0.213195</t>
  </si>
  <si>
    <t>Signed Log</t>
  </si>
  <si>
    <t>% Increase from previous round</t>
  </si>
  <si>
    <t>Submission 9</t>
  </si>
  <si>
    <t>Submission 8</t>
  </si>
  <si>
    <t>Submisssion 8</t>
  </si>
  <si>
    <t>0.719907,</t>
  </si>
  <si>
    <t> 0.564947</t>
  </si>
  <si>
    <t>Submission 10</t>
  </si>
  <si>
    <t>% increase from previous round</t>
  </si>
  <si>
    <t>%Increase from previous round</t>
  </si>
  <si>
    <t>Submission 11</t>
  </si>
  <si>
    <t>Submission 12</t>
  </si>
  <si>
    <t>Submission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</si>
</sst>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Aptos Narrow"/>
      <family val="2"/>
      <scheme val="minor"/>
    </font>
    <font>
      <sz val="12"/>
      <color rgb="FF444444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9" fontId="0" fillId="0" borderId="0" xfId="1" applyFont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2" borderId="0" xfId="0" applyFont="1" applyFill="1"/>
    <xf numFmtId="11" fontId="4" fillId="2" borderId="0" xfId="0" applyNumberFormat="1" applyFont="1" applyFill="1"/>
    <xf numFmtId="11" fontId="3" fillId="0" borderId="0" xfId="0" applyNumberFormat="1" applyFont="1"/>
    <xf numFmtId="11" fontId="4" fillId="0" borderId="0" xfId="0" applyNumberFormat="1" applyFont="1"/>
    <xf numFmtId="0" fontId="5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'Function 1'!$F$5:$F$26</c:f>
              <c:numCache>
                <c:formatCode>General</c:formatCode>
                <c:ptCount val="22"/>
                <c:pt idx="0">
                  <c:v>0.31940400000000002</c:v>
                </c:pt>
                <c:pt idx="1">
                  <c:v>0.57432899999999998</c:v>
                </c:pt>
                <c:pt idx="2">
                  <c:v>0.73102400000000001</c:v>
                </c:pt>
                <c:pt idx="3">
                  <c:v>0.84035300000000002</c:v>
                </c:pt>
                <c:pt idx="4">
                  <c:v>0.65011399999999997</c:v>
                </c:pt>
                <c:pt idx="5">
                  <c:v>0.410437</c:v>
                </c:pt>
                <c:pt idx="6">
                  <c:v>0.312691</c:v>
                </c:pt>
                <c:pt idx="7">
                  <c:v>0.68341799999999997</c:v>
                </c:pt>
                <c:pt idx="8">
                  <c:v>8.2506999999999997E-2</c:v>
                </c:pt>
                <c:pt idx="9">
                  <c:v>0.88388999999999995</c:v>
                </c:pt>
                <c:pt idx="10">
                  <c:v>0.83683700000000005</c:v>
                </c:pt>
                <c:pt idx="11">
                  <c:v>0.145923</c:v>
                </c:pt>
                <c:pt idx="12">
                  <c:v>1.108E-3</c:v>
                </c:pt>
                <c:pt idx="13">
                  <c:v>0.87587300000000001</c:v>
                </c:pt>
                <c:pt idx="14">
                  <c:v>0.5</c:v>
                </c:pt>
                <c:pt idx="15">
                  <c:v>0.32974300000000001</c:v>
                </c:pt>
                <c:pt idx="16">
                  <c:v>0.25129800000000002</c:v>
                </c:pt>
                <c:pt idx="17">
                  <c:v>0.21376000000000001</c:v>
                </c:pt>
                <c:pt idx="18">
                  <c:v>0.37307600000000002</c:v>
                </c:pt>
                <c:pt idx="19">
                  <c:v>7.9144000000000006E-2</c:v>
                </c:pt>
                <c:pt idx="20">
                  <c:v>0.47691499999999998</c:v>
                </c:pt>
                <c:pt idx="21">
                  <c:v>0.481518</c:v>
                </c:pt>
              </c:numCache>
            </c:numRef>
          </c:xVal>
          <c:yVal>
            <c:numRef>
              <c:f>'Function 1'!$G$5:$G$26</c:f>
              <c:numCache>
                <c:formatCode>General</c:formatCode>
                <c:ptCount val="22"/>
                <c:pt idx="0">
                  <c:v>0.76295900000000005</c:v>
                </c:pt>
                <c:pt idx="1">
                  <c:v>0.87989799999999996</c:v>
                </c:pt>
                <c:pt idx="2">
                  <c:v>0.73299999999999998</c:v>
                </c:pt>
                <c:pt idx="3">
                  <c:v>0.26473200000000002</c:v>
                </c:pt>
                <c:pt idx="4">
                  <c:v>0.68152599999999997</c:v>
                </c:pt>
                <c:pt idx="5">
                  <c:v>0.14755399999999999</c:v>
                </c:pt>
                <c:pt idx="6">
                  <c:v>7.8723000000000001E-2</c:v>
                </c:pt>
                <c:pt idx="7">
                  <c:v>0.86105699999999996</c:v>
                </c:pt>
                <c:pt idx="8">
                  <c:v>0.40348800000000001</c:v>
                </c:pt>
                <c:pt idx="9">
                  <c:v>0.58225400000000005</c:v>
                </c:pt>
                <c:pt idx="10">
                  <c:v>0.76976999999999995</c:v>
                </c:pt>
                <c:pt idx="11">
                  <c:v>0.12732499999999999</c:v>
                </c:pt>
                <c:pt idx="12">
                  <c:v>0.99814599999999998</c:v>
                </c:pt>
                <c:pt idx="13">
                  <c:v>2.6699999999999998E-4</c:v>
                </c:pt>
                <c:pt idx="14">
                  <c:v>0.5</c:v>
                </c:pt>
                <c:pt idx="15">
                  <c:v>9.2219999999999996E-2</c:v>
                </c:pt>
                <c:pt idx="16">
                  <c:v>0.141955</c:v>
                </c:pt>
                <c:pt idx="17">
                  <c:v>3.7888999999999999E-2</c:v>
                </c:pt>
                <c:pt idx="18">
                  <c:v>0.60792500000000005</c:v>
                </c:pt>
                <c:pt idx="19">
                  <c:v>0.90104300000000004</c:v>
                </c:pt>
                <c:pt idx="20">
                  <c:v>0.50694099999999997</c:v>
                </c:pt>
                <c:pt idx="21">
                  <c:v>0.47494799999999998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B847-94EE-8B3962078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11808"/>
        <c:axId val="1860358448"/>
      </c:scatterChart>
      <c:valAx>
        <c:axId val="178021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58448"/>
        <c:crosses val="autoZero"/>
        <c:crossBetween val="midCat"/>
      </c:valAx>
      <c:valAx>
        <c:axId val="186035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1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Signed Log of Max</a:t>
            </a:r>
            <a:r>
              <a:rPr lang="en-GB" baseline="0"/>
              <a:t> Value after each submission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'Function 1'!$L$9</c:f>
              <c:strCache>
                <c:ptCount val="1"/>
                <c:pt idx="0">
                  <c:v>-1.51E+01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1'!$M$9:$Y$9</c:f>
              <c:numCache>
                <c:formatCode>0.00E+00</c:formatCode>
                <c:ptCount val="13"/>
                <c:pt idx="0">
                  <c:v>-15.112896337109879</c:v>
                </c:pt>
                <c:pt idx="1">
                  <c:v>-15.112896337109879</c:v>
                </c:pt>
                <c:pt idx="2">
                  <c:v>-15.112896337109879</c:v>
                </c:pt>
                <c:pt idx="3">
                  <c:v>-15.112896337109879</c:v>
                </c:pt>
                <c:pt idx="4">
                  <c:v>-8.5726294599223145</c:v>
                </c:pt>
                <c:pt idx="5">
                  <c:v>-8.5726294599223145</c:v>
                </c:pt>
                <c:pt idx="6">
                  <c:v>-8.5726294599223145</c:v>
                </c:pt>
                <c:pt idx="7">
                  <c:v>-8.5726294599223145</c:v>
                </c:pt>
                <c:pt idx="8">
                  <c:v>-8.5726294599223145</c:v>
                </c:pt>
                <c:pt idx="9">
                  <c:v>-8.5726294599223145</c:v>
                </c:pt>
                <c:pt idx="10">
                  <c:v>-7.450856521829734</c:v>
                </c:pt>
                <c:pt idx="11">
                  <c:v>-4.8945047122876133</c:v>
                </c:pt>
                <c:pt idx="12">
                  <c:v>-4.8945047122876133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2-D943-96C7-52506F62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653168"/>
        <c:axId val="1267585232"/>
      </c:lineChart>
      <c:catAx>
        <c:axId val="126765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 round</a:t>
                </a:r>
              </a:p>
            </c:rich>
          </c:tx>
          <c:layout>
            <c:manualLayout>
              <c:xMode val="edge"/>
              <c:yMode val="edge"/>
              <c:x val="0.44276268591426066"/>
              <c:y val="0.86384259259259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85232"/>
        <c:crosses val="autoZero"/>
        <c:auto val="1"/>
        <c:lblAlgn val="ctr"/>
        <c:lblOffset val="100"/>
        <c:noMultiLvlLbl val="0"/>
      </c:catAx>
      <c:valAx>
        <c:axId val="12675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Signed log of 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5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Value After Each Submission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'Function 2'!$K$7:$X$7</c:f>
              <c:numCache>
                <c:formatCode>General</c:formatCode>
                <c:ptCount val="14"/>
                <c:pt idx="0">
                  <c:v>0.611205</c:v>
                </c:pt>
                <c:pt idx="1">
                  <c:v>0.611205</c:v>
                </c:pt>
                <c:pt idx="2">
                  <c:v>0.611205</c:v>
                </c:pt>
                <c:pt idx="3">
                  <c:v>0.611205</c:v>
                </c:pt>
                <c:pt idx="4">
                  <c:v>0.611205</c:v>
                </c:pt>
                <c:pt idx="5">
                  <c:v>0.62261207572372201</c:v>
                </c:pt>
                <c:pt idx="6">
                  <c:v>0.62261207572372201</c:v>
                </c:pt>
                <c:pt idx="7">
                  <c:v>0.62261207572372201</c:v>
                </c:pt>
                <c:pt idx="8">
                  <c:v>0.62261207572372201</c:v>
                </c:pt>
                <c:pt idx="9">
                  <c:v>0.62261207572372201</c:v>
                </c:pt>
                <c:pt idx="10">
                  <c:v>0.65520028541582098</c:v>
                </c:pt>
                <c:pt idx="11">
                  <c:v>0.65520028541582098</c:v>
                </c:pt>
                <c:pt idx="12">
                  <c:v>0.65520028541582098</c:v>
                </c:pt>
                <c:pt idx="13">
                  <c:v>0.65520028541582098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E-AB47-9B84-2DB189633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071984"/>
        <c:axId val="1273662704"/>
      </c:lineChart>
      <c:catAx>
        <c:axId val="17000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Submisssion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62704"/>
        <c:crosses val="autoZero"/>
        <c:auto val="1"/>
        <c:lblAlgn val="ctr"/>
        <c:lblOffset val="100"/>
        <c:noMultiLvlLbl val="0"/>
      </c:catAx>
      <c:valAx>
        <c:axId val="12736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Highest</a:t>
                </a:r>
                <a:r>
                  <a:rPr lang="en-GB" baseline="0"/>
                  <a:t> Ouput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</a:t>
            </a:r>
            <a:r>
              <a:rPr lang="en-GB" baseline="0"/>
              <a:t> Value after each submission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3'!$J$7:$W$7</c:f>
              <c:numCache>
                <c:formatCode>General</c:formatCode>
                <c:ptCount val="14"/>
                <c:pt idx="0">
                  <c:v>-3.4834999999999998E-2</c:v>
                </c:pt>
                <c:pt idx="1">
                  <c:v>-3.4834999999999998E-2</c:v>
                </c:pt>
                <c:pt idx="2">
                  <c:v>-2.6300231157910798E-3</c:v>
                </c:pt>
                <c:pt idx="3">
                  <c:v>-2.6300231157910798E-3</c:v>
                </c:pt>
                <c:pt idx="4">
                  <c:v>-2.6300231157910798E-3</c:v>
                </c:pt>
                <c:pt idx="5">
                  <c:v>-2.6300231157910798E-3</c:v>
                </c:pt>
                <c:pt idx="6">
                  <c:v>-2.6300231157910798E-3</c:v>
                </c:pt>
                <c:pt idx="7">
                  <c:v>-2.6300231157910798E-3</c:v>
                </c:pt>
                <c:pt idx="8">
                  <c:v>-2.6300231157910798E-3</c:v>
                </c:pt>
                <c:pt idx="9">
                  <c:v>-2.2606053214240798E-3</c:v>
                </c:pt>
                <c:pt idx="10">
                  <c:v>-2.2606053214240798E-3</c:v>
                </c:pt>
                <c:pt idx="11">
                  <c:v>-2.2606053214240798E-3</c:v>
                </c:pt>
                <c:pt idx="12">
                  <c:v>-1.0686760066704101E-3</c:v>
                </c:pt>
                <c:pt idx="13">
                  <c:v>-1.0686760066704101E-3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F946-8E6E-0E7B9A84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219712"/>
        <c:axId val="1299834848"/>
      </c:lineChart>
      <c:catAx>
        <c:axId val="195721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</a:t>
                </a:r>
                <a:r>
                  <a:rPr lang="en-GB" baseline="0"/>
                  <a:t> round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834848"/>
        <c:crosses val="autoZero"/>
        <c:auto val="1"/>
        <c:lblAlgn val="ctr"/>
        <c:lblOffset val="100"/>
        <c:noMultiLvlLbl val="0"/>
      </c:catAx>
      <c:valAx>
        <c:axId val="12998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1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Value after</a:t>
            </a:r>
            <a:r>
              <a:rPr lang="en-GB" baseline="0"/>
              <a:t> each Submission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4'!$K$6:$X$6</c:f>
              <c:numCache>
                <c:formatCode>General</c:formatCode>
                <c:ptCount val="14"/>
                <c:pt idx="0">
                  <c:v>-4.0255419999999997</c:v>
                </c:pt>
                <c:pt idx="1">
                  <c:v>-4.0255419999999997</c:v>
                </c:pt>
                <c:pt idx="2">
                  <c:v>-3.5744364039149001</c:v>
                </c:pt>
                <c:pt idx="3">
                  <c:v>-3.5744364039149001</c:v>
                </c:pt>
                <c:pt idx="4">
                  <c:v>-1.7448021185936899</c:v>
                </c:pt>
                <c:pt idx="5">
                  <c:v>-1.7448021185936899</c:v>
                </c:pt>
                <c:pt idx="6">
                  <c:v>-1.5194726783305901</c:v>
                </c:pt>
                <c:pt idx="7">
                  <c:v>-0.67095325634848202</c:v>
                </c:pt>
                <c:pt idx="8">
                  <c:v>0.30574307678830298</c:v>
                </c:pt>
                <c:pt idx="9">
                  <c:v>0.36952809492683197</c:v>
                </c:pt>
                <c:pt idx="10">
                  <c:v>0.55920606270778705</c:v>
                </c:pt>
                <c:pt idx="11">
                  <c:v>0.68044369644740899</c:v>
                </c:pt>
                <c:pt idx="12">
                  <c:v>0.68044369644740899</c:v>
                </c:pt>
                <c:pt idx="13">
                  <c:v>0.68044369644740899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6-4C4E-8703-11039F3BF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505184"/>
        <c:axId val="1327816544"/>
      </c:lineChart>
      <c:catAx>
        <c:axId val="132850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</a:t>
                </a:r>
                <a:r>
                  <a:rPr lang="en-GB" baseline="0"/>
                  <a:t> Round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816544"/>
        <c:crosses val="autoZero"/>
        <c:auto val="1"/>
        <c:lblAlgn val="ctr"/>
        <c:lblOffset val="100"/>
        <c:noMultiLvlLbl val="0"/>
      </c:catAx>
      <c:valAx>
        <c:axId val="13278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Vlaue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50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Value after each Submission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5'!$K$6:$X$6</c:f>
              <c:numCache>
                <c:formatCode>General</c:formatCode>
                <c:ptCount val="14"/>
                <c:pt idx="0">
                  <c:v>1088.859618</c:v>
                </c:pt>
                <c:pt idx="1">
                  <c:v>1088.859618</c:v>
                </c:pt>
                <c:pt idx="2">
                  <c:v>1239.1890052480701</c:v>
                </c:pt>
                <c:pt idx="3">
                  <c:v>3676.0621156471502</c:v>
                </c:pt>
                <c:pt idx="4">
                  <c:v>6279.0759865434102</c:v>
                </c:pt>
                <c:pt idx="5">
                  <c:v>6279.0759865434102</c:v>
                </c:pt>
                <c:pt idx="6">
                  <c:v>6279.0759865434102</c:v>
                </c:pt>
                <c:pt idx="7">
                  <c:v>6822.9402460573201</c:v>
                </c:pt>
                <c:pt idx="8">
                  <c:v>6822.9402460573201</c:v>
                </c:pt>
                <c:pt idx="9">
                  <c:v>7013.1347404058397</c:v>
                </c:pt>
                <c:pt idx="10">
                  <c:v>7013.1347404058397</c:v>
                </c:pt>
                <c:pt idx="11">
                  <c:v>7013.1347404058397</c:v>
                </c:pt>
                <c:pt idx="12">
                  <c:v>7032.5472521219799</c:v>
                </c:pt>
                <c:pt idx="13">
                  <c:v>7055.7227924156596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A-5F46-B246-8F8F8D28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163552"/>
        <c:axId val="1276665536"/>
      </c:lineChart>
      <c:catAx>
        <c:axId val="162116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665536"/>
        <c:crosses val="autoZero"/>
        <c:auto val="1"/>
        <c:lblAlgn val="ctr"/>
        <c:lblOffset val="100"/>
        <c:noMultiLvlLbl val="0"/>
      </c:catAx>
      <c:valAx>
        <c:axId val="12766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6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</a:t>
            </a:r>
            <a:r>
              <a:rPr lang="en-GB" baseline="0"/>
              <a:t> Value after Each Submission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6'!$L$6:$Y$6</c:f>
              <c:numCache>
                <c:formatCode>General</c:formatCode>
                <c:ptCount val="14"/>
                <c:pt idx="0">
                  <c:v>-0.71426500000000004</c:v>
                </c:pt>
                <c:pt idx="1">
                  <c:v>-0.71426500000000004</c:v>
                </c:pt>
                <c:pt idx="2">
                  <c:v>-0.71426500000000004</c:v>
                </c:pt>
                <c:pt idx="3">
                  <c:v>-0.71426500000000004</c:v>
                </c:pt>
                <c:pt idx="4">
                  <c:v>-0.71426500000000004</c:v>
                </c:pt>
                <c:pt idx="5">
                  <c:v>-0.56660638334951197</c:v>
                </c:pt>
                <c:pt idx="6">
                  <c:v>-0.32623545246284202</c:v>
                </c:pt>
                <c:pt idx="7">
                  <c:v>-0.32623545246284202</c:v>
                </c:pt>
                <c:pt idx="8">
                  <c:v>-0.32623545246284202</c:v>
                </c:pt>
                <c:pt idx="9">
                  <c:v>-0.21480145690226299</c:v>
                </c:pt>
                <c:pt idx="10">
                  <c:v>-0.21480145690226299</c:v>
                </c:pt>
                <c:pt idx="11">
                  <c:v>-5.0084273514361802E-2</c:v>
                </c:pt>
                <c:pt idx="12">
                  <c:v>-5.0084273514361802E-2</c:v>
                </c:pt>
                <c:pt idx="13">
                  <c:v>-5.0084273514361802E-2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A-2F4F-8088-E7BB73231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706624"/>
        <c:axId val="1396839776"/>
      </c:lineChart>
      <c:catAx>
        <c:axId val="140570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39776"/>
        <c:crosses val="autoZero"/>
        <c:auto val="1"/>
        <c:lblAlgn val="ctr"/>
        <c:lblOffset val="100"/>
        <c:noMultiLvlLbl val="0"/>
      </c:catAx>
      <c:valAx>
        <c:axId val="13968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0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Value After Each Submission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7'!$L$5:$Y$5</c:f>
              <c:numCache>
                <c:formatCode>General</c:formatCode>
                <c:ptCount val="14"/>
                <c:pt idx="0">
                  <c:v>1.364968</c:v>
                </c:pt>
                <c:pt idx="1">
                  <c:v>1.364968</c:v>
                </c:pt>
                <c:pt idx="2">
                  <c:v>1.364968</c:v>
                </c:pt>
                <c:pt idx="3">
                  <c:v>1.364968</c:v>
                </c:pt>
                <c:pt idx="4">
                  <c:v>1.364968</c:v>
                </c:pt>
                <c:pt idx="5">
                  <c:v>1.364968</c:v>
                </c:pt>
                <c:pt idx="6">
                  <c:v>2.0203487535312199</c:v>
                </c:pt>
                <c:pt idx="7">
                  <c:v>2.24642659782582</c:v>
                </c:pt>
                <c:pt idx="8">
                  <c:v>2.24642659782582</c:v>
                </c:pt>
                <c:pt idx="9">
                  <c:v>2.7030203816122098</c:v>
                </c:pt>
                <c:pt idx="10">
                  <c:v>2.7030203816122098</c:v>
                </c:pt>
                <c:pt idx="11">
                  <c:v>2.7543332443388802</c:v>
                </c:pt>
                <c:pt idx="12">
                  <c:v>2.7543332443388802</c:v>
                </c:pt>
                <c:pt idx="13">
                  <c:v>2.7543332443388802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0-D94E-9715-3085670A7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169632"/>
        <c:axId val="1950516144"/>
      </c:lineChart>
      <c:catAx>
        <c:axId val="143016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</a:t>
                </a:r>
                <a:r>
                  <a:rPr lang="en-GB" baseline="0"/>
                  <a:t> Round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16144"/>
        <c:crosses val="autoZero"/>
        <c:auto val="1"/>
        <c:lblAlgn val="ctr"/>
        <c:lblOffset val="100"/>
        <c:noMultiLvlLbl val="0"/>
      </c:catAx>
      <c:valAx>
        <c:axId val="19505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Value After Each Submission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'Function 8'!$N$5:$AA$5</c:f>
              <c:numCache>
                <c:formatCode>General</c:formatCode>
                <c:ptCount val="14"/>
                <c:pt idx="0">
                  <c:v>9.5984820000000006</c:v>
                </c:pt>
                <c:pt idx="1">
                  <c:v>9.6810399999999994</c:v>
                </c:pt>
                <c:pt idx="2">
                  <c:v>9.6810399999999994</c:v>
                </c:pt>
                <c:pt idx="3">
                  <c:v>9.6810399999999994</c:v>
                </c:pt>
                <c:pt idx="4">
                  <c:v>9.8455265164555996</c:v>
                </c:pt>
                <c:pt idx="5">
                  <c:v>9.8455265164555996</c:v>
                </c:pt>
                <c:pt idx="6">
                  <c:v>9.8455265164555996</c:v>
                </c:pt>
                <c:pt idx="7">
                  <c:v>9.8997474044235005</c:v>
                </c:pt>
                <c:pt idx="8">
                  <c:v>9.8997474044235005</c:v>
                </c:pt>
                <c:pt idx="9">
                  <c:v>9.9235528027938997</c:v>
                </c:pt>
                <c:pt idx="10">
                  <c:v>9.9235528027938997</c:v>
                </c:pt>
                <c:pt idx="11">
                  <c:v>9.9887644149959005</c:v>
                </c:pt>
                <c:pt idx="12">
                  <c:v>9.9887644149959005</c:v>
                </c:pt>
                <c:pt idx="13">
                  <c:v>9.9887644149959005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2-5D42-BA98-93C91006A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859024"/>
        <c:axId val="1398232432"/>
      </c:lineChart>
      <c:catAx>
        <c:axId val="147485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Submission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232432"/>
        <c:crosses val="autoZero"/>
        <c:auto val="1"/>
        <c:lblAlgn val="ctr"/>
        <c:lblOffset val="100"/>
        <c:noMultiLvlLbl val="0"/>
      </c:catAx>
      <c:valAx>
        <c:axId val="139823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Max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5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1002896</xdr:colOff>
      <xdr:row>35</xdr:row>
      <xdr:rowOff>107144</xdr:rowOff>
    </xdr:from>
    <xdr:to>
      <xdr:col>12</xdr:col>
      <xdr:colOff>747888</xdr:colOff>
      <xdr:row>49</xdr:row>
      <xdr:rowOff>7157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FDBD9-631F-C111-27F2-1EAB2F506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584200</xdr:colOff>
      <xdr:row>23</xdr:row>
      <xdr:rowOff>143931</xdr:rowOff>
    </xdr:from>
    <xdr:to>
      <xdr:col>20</xdr:col>
      <xdr:colOff>287867</xdr:colOff>
      <xdr:row>42</xdr:row>
      <xdr:rowOff>203198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4D308-9444-1B9F-6377-AB661280E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762001</xdr:colOff>
      <xdr:row>12</xdr:row>
      <xdr:rowOff>152399</xdr:rowOff>
    </xdr:from>
    <xdr:to>
      <xdr:col>16</xdr:col>
      <xdr:colOff>33868</xdr:colOff>
      <xdr:row>25</xdr:row>
      <xdr:rowOff>42332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00F13D-0816-2C00-9B94-878F7B150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363482</xdr:colOff>
      <xdr:row>18</xdr:row>
      <xdr:rowOff>124664</xdr:rowOff>
    </xdr:from>
    <xdr:to>
      <xdr:col>14</xdr:col>
      <xdr:colOff>775137</xdr:colOff>
      <xdr:row>32</xdr:row>
      <xdr:rowOff>6715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FFE16E-4B8B-5B2B-3115-133187B55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990600</xdr:colOff>
      <xdr:row>16</xdr:row>
      <xdr:rowOff>93133</xdr:rowOff>
    </xdr:from>
    <xdr:to>
      <xdr:col>14</xdr:col>
      <xdr:colOff>651933</xdr:colOff>
      <xdr:row>29</xdr:row>
      <xdr:rowOff>194733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6F736-6E2E-494D-F21F-5CA43C10F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160866</xdr:colOff>
      <xdr:row>16</xdr:row>
      <xdr:rowOff>93133</xdr:rowOff>
    </xdr:from>
    <xdr:to>
      <xdr:col>14</xdr:col>
      <xdr:colOff>973666</xdr:colOff>
      <xdr:row>29</xdr:row>
      <xdr:rowOff>194733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D000A-EF29-F747-02EC-BB1B94AB8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521771</xdr:colOff>
      <xdr:row>14</xdr:row>
      <xdr:rowOff>97316</xdr:rowOff>
    </xdr:from>
    <xdr:to>
      <xdr:col>18</xdr:col>
      <xdr:colOff>136181</xdr:colOff>
      <xdr:row>28</xdr:row>
      <xdr:rowOff>55696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3A32E-1E35-D967-582A-D52F787C7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160866</xdr:colOff>
      <xdr:row>16</xdr:row>
      <xdr:rowOff>93133</xdr:rowOff>
    </xdr:from>
    <xdr:to>
      <xdr:col>16</xdr:col>
      <xdr:colOff>76200</xdr:colOff>
      <xdr:row>29</xdr:row>
      <xdr:rowOff>194733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8B801-8C04-98BB-ECC6-E90A5D8D7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216648</xdr:colOff>
      <xdr:row>13</xdr:row>
      <xdr:rowOff>129988</xdr:rowOff>
    </xdr:from>
    <xdr:to>
      <xdr:col>19</xdr:col>
      <xdr:colOff>679825</xdr:colOff>
      <xdr:row>26</xdr:row>
      <xdr:rowOff>153894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9E1A7-C2EA-6690-D62E-55C95BC9B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7A01-8309-A94A-A7BF-F85E49401E65}">
  <dimension ref="B4:Y27"/>
  <sheetViews>
    <sheetView topLeftCell="C1" zoomScale="50" workbookViewId="0">
      <selection activeCell="R18" sqref="R18"/>
    </sheetView>
  </sheetViews>
  <sheetFormatPr baseColWidth="10" defaultRowHeight="16" x14ac:dyDescent="0.2"/>
  <cols>
    <col min="6" max="6" width="20.33203125" customWidth="1"/>
    <col min="7" max="7" width="22.6640625" customWidth="1"/>
    <col min="8" max="8" width="38.83203125" customWidth="1"/>
    <col min="11" max="11" width="29" customWidth="1"/>
    <col min="13" max="16" width="11" bestFit="1" customWidth="1"/>
    <col min="17" max="17" width="15.33203125" bestFit="1" customWidth="1"/>
    <col min="18" max="19" width="11" bestFit="1" customWidth="1"/>
    <col min="22" max="22" width="14.1640625" customWidth="1"/>
  </cols>
  <sheetData>
    <row r="4" spans="2:25" x14ac:dyDescent="0.2">
      <c r="E4" s="1"/>
      <c r="F4" s="1" t="s">
        <v>0</v>
      </c>
      <c r="G4" s="1" t="s">
        <v>1</v>
      </c>
      <c r="H4" t="s">
        <v>2</v>
      </c>
    </row>
    <row r="5" spans="2:25" x14ac:dyDescent="0.2">
      <c r="E5" s="3">
        <v>0</v>
      </c>
      <c r="F5" s="10">
        <v>0.31940400000000002</v>
      </c>
      <c r="G5" s="10">
        <v>0.76295900000000005</v>
      </c>
      <c r="H5" s="11">
        <f>1.322677E-79</f>
        <v>1.322677E-79</v>
      </c>
    </row>
    <row r="6" spans="2:25" x14ac:dyDescent="0.2">
      <c r="B6" s="4" t="s">
        <v>5</v>
      </c>
      <c r="E6" s="3">
        <v>1</v>
      </c>
      <c r="F6" s="10">
        <v>0.57432899999999998</v>
      </c>
      <c r="G6" s="10">
        <v>0.87989799999999996</v>
      </c>
      <c r="H6" s="11">
        <f>1.033078E-46</f>
        <v>1.0330779999999999E-46</v>
      </c>
      <c r="L6">
        <v>1</v>
      </c>
      <c r="M6">
        <v>2</v>
      </c>
      <c r="N6">
        <v>3</v>
      </c>
      <c r="O6">
        <v>4</v>
      </c>
      <c r="P6">
        <v>5</v>
      </c>
      <c r="Q6">
        <v>6</v>
      </c>
      <c r="R6">
        <v>7</v>
      </c>
      <c r="S6">
        <v>8</v>
      </c>
      <c r="T6">
        <v>9</v>
      </c>
      <c r="U6">
        <v>10</v>
      </c>
      <c r="V6">
        <v>11</v>
      </c>
      <c r="W6">
        <v>12</v>
      </c>
      <c r="X6">
        <v>13</v>
      </c>
      <c r="Y6">
        <v>14</v>
      </c>
    </row>
    <row r="7" spans="2:25" x14ac:dyDescent="0.2">
      <c r="E7" s="3">
        <v>2</v>
      </c>
      <c r="F7" s="10">
        <v>0.73102400000000001</v>
      </c>
      <c r="G7" s="10">
        <v>0.73299999999999998</v>
      </c>
      <c r="H7" s="11">
        <f>7.710875E-16</f>
        <v>7.7108750000000003E-16</v>
      </c>
      <c r="L7" t="s">
        <v>3</v>
      </c>
      <c r="M7" t="s">
        <v>4</v>
      </c>
      <c r="N7" t="s">
        <v>18</v>
      </c>
      <c r="O7" t="s">
        <v>24</v>
      </c>
      <c r="P7" t="s">
        <v>25</v>
      </c>
      <c r="Q7" t="s">
        <v>28</v>
      </c>
      <c r="R7" t="s">
        <v>32</v>
      </c>
      <c r="S7" t="s">
        <v>34</v>
      </c>
      <c r="T7" t="s">
        <v>39</v>
      </c>
      <c r="U7" t="s">
        <v>38</v>
      </c>
      <c r="V7" t="s">
        <v>43</v>
      </c>
      <c r="W7" t="s">
        <v>46</v>
      </c>
      <c r="X7" t="s">
        <v>47</v>
      </c>
      <c r="Y7" t="s">
        <v>48</v>
      </c>
    </row>
    <row r="8" spans="2:25" x14ac:dyDescent="0.2">
      <c r="E8" s="3">
        <v>3</v>
      </c>
      <c r="F8" s="10">
        <v>0.84035300000000002</v>
      </c>
      <c r="G8" s="10">
        <v>0.26473200000000002</v>
      </c>
      <c r="H8" s="11">
        <f>3.341771E-124</f>
        <v>3.341771E-124</v>
      </c>
      <c r="L8" s="2">
        <f>MAX(H5:H14)</f>
        <v>7.7108750000000003E-16</v>
      </c>
      <c r="M8" s="2">
        <f>MAX(H5:H15)</f>
        <v>7.7108750000000003E-16</v>
      </c>
      <c r="N8" s="2">
        <f>MAX(H5:H16)</f>
        <v>7.7108750000000003E-16</v>
      </c>
      <c r="O8" s="2">
        <f>MAX(H5:H17)</f>
        <v>7.7108750000000003E-16</v>
      </c>
      <c r="P8" s="2">
        <f>MAX(H5:H18)</f>
        <v>7.7108750000000003E-16</v>
      </c>
      <c r="Q8" s="2">
        <f>MAX(H5:H19)</f>
        <v>2.6752879910742401E-9</v>
      </c>
      <c r="R8" s="2">
        <f>MAX(H5:H20)</f>
        <v>2.6752879910742401E-9</v>
      </c>
      <c r="S8" s="2">
        <f>MAX(H5:H21)</f>
        <v>2.6752879910742401E-9</v>
      </c>
      <c r="T8" s="2">
        <f>MAX(H5:H22)</f>
        <v>2.6752879910742401E-9</v>
      </c>
      <c r="U8" s="2">
        <f>MAX(H5:H23)</f>
        <v>2.6752879910742401E-9</v>
      </c>
      <c r="V8" s="2">
        <f>MAX(H5:H24)</f>
        <v>2.6752879910742401E-9</v>
      </c>
      <c r="W8" s="2">
        <f>MAX(H5:H25)</f>
        <v>3.5411431075201101E-8</v>
      </c>
      <c r="X8" s="2">
        <f>MAX(H5:H26)</f>
        <v>1.2749562660281E-5</v>
      </c>
      <c r="Y8" s="2">
        <f>MAX(H5:H27)</f>
        <v>1.2749562660281E-5</v>
      </c>
    </row>
    <row r="9" spans="2:25" x14ac:dyDescent="0.2">
      <c r="E9" s="3">
        <v>4</v>
      </c>
      <c r="F9" s="10">
        <v>0.65011399999999997</v>
      </c>
      <c r="G9" s="10">
        <v>0.68152599999999997</v>
      </c>
      <c r="H9" s="11">
        <f>-0.003606063</f>
        <v>-3.6060630000000001E-3</v>
      </c>
      <c r="K9" t="s">
        <v>36</v>
      </c>
      <c r="L9" s="2">
        <f>SIGN(L8)*LOG10(L8+10^-300)</f>
        <v>-15.112896337109879</v>
      </c>
      <c r="M9" s="2">
        <f t="shared" ref="M9:S9" si="0">SIGN(M8)*LOG10(M8+10^-300)</f>
        <v>-15.112896337109879</v>
      </c>
      <c r="N9" s="2">
        <f t="shared" si="0"/>
        <v>-15.112896337109879</v>
      </c>
      <c r="O9" s="2">
        <f t="shared" si="0"/>
        <v>-15.112896337109879</v>
      </c>
      <c r="P9" s="2">
        <f t="shared" si="0"/>
        <v>-15.112896337109879</v>
      </c>
      <c r="Q9" s="2">
        <f t="shared" si="0"/>
        <v>-8.5726294599223145</v>
      </c>
      <c r="R9" s="2">
        <f t="shared" si="0"/>
        <v>-8.5726294599223145</v>
      </c>
      <c r="S9" s="2">
        <f t="shared" si="0"/>
        <v>-8.5726294599223145</v>
      </c>
      <c r="T9" s="2">
        <f t="shared" ref="T9:U9" si="1">SIGN(T8)*LOG10(T8+10^-300)</f>
        <v>-8.5726294599223145</v>
      </c>
      <c r="U9" s="2">
        <f t="shared" si="1"/>
        <v>-8.5726294599223145</v>
      </c>
      <c r="V9" s="2">
        <f t="shared" ref="V9" si="2">SIGN(V8)*LOG10(V8+10^-300)</f>
        <v>-8.5726294599223145</v>
      </c>
      <c r="W9" s="2">
        <f t="shared" ref="W9:X9" si="3">SIGN(W8)*LOG10(W8+10^-300)</f>
        <v>-7.450856521829734</v>
      </c>
      <c r="X9" s="2">
        <f t="shared" si="3"/>
        <v>-4.8945047122876133</v>
      </c>
      <c r="Y9" s="2">
        <f t="shared" ref="Y9" si="4">SIGN(Y8)*LOG10(Y8+10^-300)</f>
        <v>-4.8945047122876133</v>
      </c>
    </row>
    <row r="10" spans="2:25" x14ac:dyDescent="0.2">
      <c r="E10" s="3">
        <v>5</v>
      </c>
      <c r="F10" s="10">
        <v>0.410437</v>
      </c>
      <c r="G10" s="10">
        <v>0.14755399999999999</v>
      </c>
      <c r="H10" s="11">
        <f>-2.159249E-54</f>
        <v>-2.159249E-54</v>
      </c>
      <c r="K10" s="6" t="s">
        <v>37</v>
      </c>
      <c r="L10" s="6"/>
      <c r="M10" s="6">
        <f>(M8-L8)/L8</f>
        <v>0</v>
      </c>
      <c r="N10" s="6">
        <f t="shared" ref="N10:U10" si="5">(N8-M8)/M8</f>
        <v>0</v>
      </c>
      <c r="O10" s="6">
        <f t="shared" si="5"/>
        <v>0</v>
      </c>
      <c r="P10" s="6">
        <f t="shared" si="5"/>
        <v>0</v>
      </c>
      <c r="Q10" s="6">
        <f t="shared" si="5"/>
        <v>3469498.8830537908</v>
      </c>
      <c r="R10" s="6">
        <f t="shared" si="5"/>
        <v>0</v>
      </c>
      <c r="S10" s="6">
        <f t="shared" si="5"/>
        <v>0</v>
      </c>
      <c r="T10" s="6">
        <f t="shared" si="5"/>
        <v>0</v>
      </c>
      <c r="U10" s="6">
        <f t="shared" si="5"/>
        <v>0</v>
      </c>
      <c r="V10" s="6">
        <f t="shared" ref="V10" si="6">(V8-U8)/U8</f>
        <v>0</v>
      </c>
      <c r="W10" s="6">
        <f t="shared" ref="W10" si="7">(W8-V8)/V8</f>
        <v>12.236493115263427</v>
      </c>
      <c r="X10" s="6">
        <f t="shared" ref="X10" si="8">(X8-W8)/W8</f>
        <v>359.04087587439011</v>
      </c>
      <c r="Y10" s="6">
        <f t="shared" ref="Y10" si="9">(Y8-X8)/X8</f>
        <v>0</v>
      </c>
    </row>
    <row r="11" spans="2:25" x14ac:dyDescent="0.2">
      <c r="E11" s="3">
        <v>6</v>
      </c>
      <c r="F11" s="10">
        <v>0.312691</v>
      </c>
      <c r="G11" s="10">
        <v>7.8723000000000001E-2</v>
      </c>
      <c r="H11" s="11">
        <f>-2.089093E-91</f>
        <v>-2.0890929999999999E-91</v>
      </c>
    </row>
    <row r="12" spans="2:25" x14ac:dyDescent="0.2">
      <c r="E12" s="3">
        <v>7</v>
      </c>
      <c r="F12" s="10">
        <v>0.68341799999999997</v>
      </c>
      <c r="G12" s="10">
        <v>0.86105699999999996</v>
      </c>
      <c r="H12" s="11">
        <f>2.535001E-40</f>
        <v>2.5350010000000002E-40</v>
      </c>
    </row>
    <row r="13" spans="2:25" x14ac:dyDescent="0.2">
      <c r="E13" s="3">
        <v>8</v>
      </c>
      <c r="F13" s="10">
        <v>8.2506999999999997E-2</v>
      </c>
      <c r="G13" s="10">
        <v>0.40348800000000001</v>
      </c>
      <c r="H13" s="11">
        <f>3.606771E-81</f>
        <v>3.6067710000000001E-81</v>
      </c>
    </row>
    <row r="14" spans="2:25" x14ac:dyDescent="0.2">
      <c r="E14" s="3">
        <v>9</v>
      </c>
      <c r="F14" s="10">
        <v>0.88388999999999995</v>
      </c>
      <c r="G14" s="10">
        <v>0.58225400000000005</v>
      </c>
      <c r="H14" s="11">
        <f>6.229856E-48</f>
        <v>6.2298560000000004E-48</v>
      </c>
    </row>
    <row r="15" spans="2:25" x14ac:dyDescent="0.2">
      <c r="E15" s="1">
        <v>10</v>
      </c>
      <c r="F15" s="9">
        <v>0.83683700000000005</v>
      </c>
      <c r="G15" s="7">
        <v>0.76976999999999995</v>
      </c>
      <c r="H15" s="12">
        <f>-7.2631434844889E-45</f>
        <v>-7.2631434844888995E-45</v>
      </c>
    </row>
    <row r="16" spans="2:25" x14ac:dyDescent="0.2">
      <c r="E16" s="1">
        <v>11</v>
      </c>
      <c r="F16" s="7">
        <v>0.145923</v>
      </c>
      <c r="G16" s="7">
        <v>0.12732499999999999</v>
      </c>
      <c r="H16" s="12">
        <f>2.42005112861639E-115</f>
        <v>2.42005112861639E-115</v>
      </c>
    </row>
    <row r="17" spans="5:8" x14ac:dyDescent="0.2">
      <c r="E17" s="1">
        <v>12</v>
      </c>
      <c r="F17" s="9">
        <v>1.108E-3</v>
      </c>
      <c r="G17" s="7">
        <v>0.99814599999999998</v>
      </c>
      <c r="H17" s="9">
        <v>0</v>
      </c>
    </row>
    <row r="18" spans="5:8" x14ac:dyDescent="0.2">
      <c r="E18" s="1">
        <v>13</v>
      </c>
      <c r="F18" s="7">
        <v>0.87587300000000001</v>
      </c>
      <c r="G18" s="7">
        <v>2.6699999999999998E-4</v>
      </c>
      <c r="H18" s="12">
        <v>-5.7119037099400204E-268</v>
      </c>
    </row>
    <row r="19" spans="5:8" x14ac:dyDescent="0.2">
      <c r="E19" s="1">
        <v>14</v>
      </c>
      <c r="F19" s="9">
        <v>0.5</v>
      </c>
      <c r="G19" s="7">
        <v>0.5</v>
      </c>
      <c r="H19" s="12">
        <v>2.6752879910742401E-9</v>
      </c>
    </row>
    <row r="20" spans="5:8" x14ac:dyDescent="0.2">
      <c r="E20" s="1">
        <v>15</v>
      </c>
      <c r="F20" s="9">
        <v>0.32974300000000001</v>
      </c>
      <c r="G20" s="9">
        <v>9.2219999999999996E-2</v>
      </c>
      <c r="H20" s="13">
        <v>-4.8263877948748099E-82</v>
      </c>
    </row>
    <row r="21" spans="5:8" x14ac:dyDescent="0.2">
      <c r="E21" s="1">
        <v>16</v>
      </c>
      <c r="F21" s="7">
        <v>0.25129800000000002</v>
      </c>
      <c r="G21" s="7">
        <v>0.141955</v>
      </c>
      <c r="H21" s="12">
        <v>6.2489788568793794E-76</v>
      </c>
    </row>
    <row r="22" spans="5:8" x14ac:dyDescent="0.2">
      <c r="E22" s="1">
        <v>17</v>
      </c>
      <c r="F22" s="7">
        <v>0.21376000000000001</v>
      </c>
      <c r="G22" s="7">
        <v>3.7888999999999999E-2</v>
      </c>
      <c r="H22" s="12">
        <v>2.5230758686346899E-133</v>
      </c>
    </row>
    <row r="23" spans="5:8" x14ac:dyDescent="0.2">
      <c r="E23" s="1">
        <v>18</v>
      </c>
      <c r="F23" s="7">
        <v>0.37307600000000002</v>
      </c>
      <c r="G23" s="7">
        <v>0.60792500000000005</v>
      </c>
      <c r="H23" s="12">
        <v>-2.2438288122580498E-27</v>
      </c>
    </row>
    <row r="24" spans="5:8" x14ac:dyDescent="0.2">
      <c r="E24" s="1">
        <v>19</v>
      </c>
      <c r="F24" s="9">
        <v>7.9144000000000006E-2</v>
      </c>
      <c r="G24" s="7">
        <v>0.90104300000000004</v>
      </c>
      <c r="H24" s="12">
        <v>2.3090597449009198E-242</v>
      </c>
    </row>
    <row r="25" spans="5:8" x14ac:dyDescent="0.2">
      <c r="E25" s="1">
        <v>20</v>
      </c>
      <c r="F25" s="7">
        <v>0.47691499999999998</v>
      </c>
      <c r="G25" s="7">
        <v>0.50694099999999997</v>
      </c>
      <c r="H25" s="12">
        <v>3.5411431075201101E-8</v>
      </c>
    </row>
    <row r="26" spans="5:8" x14ac:dyDescent="0.2">
      <c r="E26" s="1">
        <v>21</v>
      </c>
      <c r="F26" s="7">
        <v>0.481518</v>
      </c>
      <c r="G26" s="7">
        <v>0.47494799999999998</v>
      </c>
      <c r="H26" s="7">
        <v>1.2749562660281E-5</v>
      </c>
    </row>
    <row r="27" spans="5:8" x14ac:dyDescent="0.2">
      <c r="E27" s="1">
        <v>22</v>
      </c>
      <c r="F27" s="7">
        <v>0.485871</v>
      </c>
      <c r="G27" s="7">
        <v>0.48907400000000001</v>
      </c>
      <c r="H27" s="12">
        <v>6.6710127192645498E-7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F70E-29B1-B441-8F72-65157A8968C3}">
  <dimension ref="B5:X28"/>
  <sheetViews>
    <sheetView topLeftCell="A2" zoomScale="75" workbookViewId="0">
      <selection activeCell="G37" sqref="G37"/>
    </sheetView>
  </sheetViews>
  <sheetFormatPr baseColWidth="10" defaultRowHeight="16" x14ac:dyDescent="0.2"/>
  <cols>
    <col min="10" max="10" width="29.6640625" customWidth="1"/>
    <col min="12" max="12" width="17.33203125" customWidth="1"/>
    <col min="13" max="13" width="18" customWidth="1"/>
    <col min="14" max="15" width="14" customWidth="1"/>
    <col min="16" max="16" width="15.6640625" customWidth="1"/>
    <col min="17" max="17" width="13.6640625" customWidth="1"/>
    <col min="18" max="18" width="14.83203125" customWidth="1"/>
    <col min="19" max="19" width="15.33203125" customWidth="1"/>
    <col min="20" max="21" width="14.83203125" customWidth="1"/>
    <col min="22" max="22" width="26.1640625" customWidth="1"/>
    <col min="23" max="23" width="13.33203125" customWidth="1"/>
    <col min="24" max="24" width="14.1640625" customWidth="1"/>
  </cols>
  <sheetData>
    <row r="5" spans="2:24" x14ac:dyDescent="0.2">
      <c r="D5" s="1" t="s">
        <v>0</v>
      </c>
      <c r="E5" s="1" t="s">
        <v>1</v>
      </c>
      <c r="F5" s="1" t="s">
        <v>2</v>
      </c>
      <c r="K5">
        <v>1</v>
      </c>
      <c r="L5">
        <v>2</v>
      </c>
      <c r="M5">
        <v>3</v>
      </c>
      <c r="N5">
        <v>4</v>
      </c>
      <c r="O5">
        <v>5</v>
      </c>
      <c r="P5">
        <v>6</v>
      </c>
      <c r="Q5">
        <v>7</v>
      </c>
      <c r="R5">
        <v>8</v>
      </c>
      <c r="S5">
        <v>9</v>
      </c>
      <c r="T5">
        <v>10</v>
      </c>
      <c r="U5">
        <v>11</v>
      </c>
      <c r="V5">
        <v>12</v>
      </c>
      <c r="W5">
        <v>13</v>
      </c>
      <c r="X5">
        <v>14</v>
      </c>
    </row>
    <row r="6" spans="2:24" x14ac:dyDescent="0.2">
      <c r="C6" s="1">
        <v>0</v>
      </c>
      <c r="D6" s="8">
        <v>0.66579999999999995</v>
      </c>
      <c r="E6" s="8">
        <v>0.123969</v>
      </c>
      <c r="F6" s="8">
        <v>0.53899600000000003</v>
      </c>
      <c r="K6" t="s">
        <v>3</v>
      </c>
      <c r="L6" t="s">
        <v>4</v>
      </c>
      <c r="M6" t="s">
        <v>18</v>
      </c>
      <c r="N6" t="s">
        <v>24</v>
      </c>
      <c r="O6" t="s">
        <v>25</v>
      </c>
      <c r="P6" t="s">
        <v>28</v>
      </c>
      <c r="Q6" t="s">
        <v>32</v>
      </c>
      <c r="R6" t="s">
        <v>34</v>
      </c>
      <c r="S6" t="s">
        <v>39</v>
      </c>
      <c r="T6" t="s">
        <v>38</v>
      </c>
      <c r="U6" t="s">
        <v>43</v>
      </c>
      <c r="V6" t="s">
        <v>46</v>
      </c>
      <c r="W6" t="s">
        <v>47</v>
      </c>
      <c r="X6" t="s">
        <v>48</v>
      </c>
    </row>
    <row r="7" spans="2:24" x14ac:dyDescent="0.2">
      <c r="B7" s="5" t="s">
        <v>5</v>
      </c>
      <c r="C7" s="1">
        <v>1</v>
      </c>
      <c r="D7" s="8">
        <v>0.87779099999999999</v>
      </c>
      <c r="E7" s="8">
        <v>0.77862799999999999</v>
      </c>
      <c r="F7" s="8">
        <v>0.42058600000000002</v>
      </c>
      <c r="K7">
        <f>MAX(F6:F15)</f>
        <v>0.611205</v>
      </c>
      <c r="L7">
        <f>MAX(F6:F16)</f>
        <v>0.611205</v>
      </c>
      <c r="M7">
        <f>MAX(F6:F17)</f>
        <v>0.611205</v>
      </c>
      <c r="N7">
        <f>MAX(F6:F18)</f>
        <v>0.611205</v>
      </c>
      <c r="O7">
        <f>MAX(F6:F19)</f>
        <v>0.611205</v>
      </c>
      <c r="P7">
        <f>MAX(F6:F20)</f>
        <v>0.62261207572372201</v>
      </c>
      <c r="Q7">
        <f>MAX(F6:F21)</f>
        <v>0.62261207572372201</v>
      </c>
      <c r="R7">
        <f>MAX(F6:F22)</f>
        <v>0.62261207572372201</v>
      </c>
      <c r="S7">
        <f>MAX(F6:F23)</f>
        <v>0.62261207572372201</v>
      </c>
      <c r="T7">
        <f>MAX(F6:F24)</f>
        <v>0.62261207572372201</v>
      </c>
      <c r="U7">
        <f>MAX(F6:F25)</f>
        <v>0.65520028541582098</v>
      </c>
      <c r="V7">
        <f>MAX(F6:F26)</f>
        <v>0.65520028541582098</v>
      </c>
      <c r="W7">
        <f>MAX(F6:F27)</f>
        <v>0.65520028541582098</v>
      </c>
      <c r="X7">
        <f>MAX(F6:F28)</f>
        <v>0.65520028541582098</v>
      </c>
    </row>
    <row r="8" spans="2:24" x14ac:dyDescent="0.2">
      <c r="C8" s="1">
        <v>2</v>
      </c>
      <c r="D8" s="8">
        <v>0.14269899999999999</v>
      </c>
      <c r="E8" s="8">
        <v>0.34900500000000001</v>
      </c>
      <c r="F8" s="8">
        <v>-6.5624000000000002E-2</v>
      </c>
      <c r="J8" t="s">
        <v>37</v>
      </c>
      <c r="L8" s="6">
        <f>(L7-K7)/K7</f>
        <v>0</v>
      </c>
      <c r="M8" s="6">
        <f t="shared" ref="M8:U8" si="0">(M7-L7)/L7</f>
        <v>0</v>
      </c>
      <c r="N8" s="6">
        <f t="shared" si="0"/>
        <v>0</v>
      </c>
      <c r="O8" s="6">
        <f t="shared" si="0"/>
        <v>0</v>
      </c>
      <c r="P8" s="6">
        <f t="shared" si="0"/>
        <v>1.8663256556674137E-2</v>
      </c>
      <c r="Q8" s="6">
        <f t="shared" si="0"/>
        <v>0</v>
      </c>
      <c r="R8" s="6">
        <f t="shared" si="0"/>
        <v>0</v>
      </c>
      <c r="S8" s="6">
        <f t="shared" si="0"/>
        <v>0</v>
      </c>
      <c r="T8" s="6">
        <f t="shared" si="0"/>
        <v>0</v>
      </c>
      <c r="U8" s="6">
        <f t="shared" si="0"/>
        <v>5.234111409454844E-2</v>
      </c>
      <c r="V8" s="6">
        <f t="shared" ref="V8" si="1">(V7-U7)/U7</f>
        <v>0</v>
      </c>
      <c r="W8" s="6">
        <f t="shared" ref="W8" si="2">(W7-V7)/V7</f>
        <v>0</v>
      </c>
      <c r="X8" s="6">
        <f t="shared" ref="X8" si="3">(X7-W7)/W7</f>
        <v>0</v>
      </c>
    </row>
    <row r="9" spans="2:24" x14ac:dyDescent="0.2">
      <c r="C9" s="1">
        <v>3</v>
      </c>
      <c r="D9" s="8">
        <v>0.845275</v>
      </c>
      <c r="E9" s="8">
        <v>0.71111999999999997</v>
      </c>
      <c r="F9" s="8">
        <v>0.293993</v>
      </c>
    </row>
    <row r="10" spans="2:24" x14ac:dyDescent="0.2">
      <c r="C10" s="1">
        <v>4</v>
      </c>
      <c r="D10" s="8">
        <v>0.45464700000000002</v>
      </c>
      <c r="E10" s="8">
        <v>0.29045500000000002</v>
      </c>
      <c r="F10" s="8">
        <v>0.21496499999999999</v>
      </c>
    </row>
    <row r="11" spans="2:24" x14ac:dyDescent="0.2">
      <c r="C11" s="1">
        <v>5</v>
      </c>
      <c r="D11" s="8">
        <v>0.57771300000000003</v>
      </c>
      <c r="E11" s="8">
        <v>0.77197300000000002</v>
      </c>
      <c r="F11" s="8">
        <v>2.3106000000000002E-2</v>
      </c>
    </row>
    <row r="12" spans="2:24" x14ac:dyDescent="0.2">
      <c r="C12" s="1">
        <v>6</v>
      </c>
      <c r="D12" s="8">
        <v>0.438166</v>
      </c>
      <c r="E12" s="8">
        <v>0.68501800000000002</v>
      </c>
      <c r="F12" s="8">
        <v>0.244619</v>
      </c>
    </row>
    <row r="13" spans="2:24" x14ac:dyDescent="0.2">
      <c r="C13" s="1">
        <v>7</v>
      </c>
      <c r="D13" s="8">
        <v>0.34175</v>
      </c>
      <c r="E13" s="8">
        <v>2.8698000000000001E-2</v>
      </c>
      <c r="F13" s="8">
        <v>3.8748999999999999E-2</v>
      </c>
    </row>
    <row r="14" spans="2:24" x14ac:dyDescent="0.2">
      <c r="C14" s="1">
        <v>8</v>
      </c>
      <c r="D14" s="8">
        <v>0.338648</v>
      </c>
      <c r="E14" s="8">
        <v>0.213867</v>
      </c>
      <c r="F14" s="8">
        <v>-1.3858000000000001E-2</v>
      </c>
    </row>
    <row r="15" spans="2:24" x14ac:dyDescent="0.2">
      <c r="C15" s="1">
        <v>9</v>
      </c>
      <c r="D15" s="8">
        <v>0.70263699999999996</v>
      </c>
      <c r="E15" s="8">
        <v>0.92656400000000005</v>
      </c>
      <c r="F15" s="8">
        <v>0.611205</v>
      </c>
    </row>
    <row r="16" spans="2:24" x14ac:dyDescent="0.2">
      <c r="C16" s="1">
        <v>10</v>
      </c>
      <c r="D16" s="7">
        <v>0.79971000000000003</v>
      </c>
      <c r="E16" s="7">
        <v>0.91991999999999996</v>
      </c>
      <c r="F16" s="7">
        <v>0.156115341519314</v>
      </c>
    </row>
    <row r="17" spans="3:6" x14ac:dyDescent="0.2">
      <c r="C17" s="1">
        <v>11</v>
      </c>
      <c r="D17" s="7">
        <v>0.65379100000000001</v>
      </c>
      <c r="E17" s="7">
        <v>0.95421999999999996</v>
      </c>
      <c r="F17" s="7">
        <v>0.49349764560783199</v>
      </c>
    </row>
    <row r="18" spans="3:6" x14ac:dyDescent="0.2">
      <c r="C18" s="1">
        <v>12</v>
      </c>
      <c r="D18" s="7">
        <v>0.76698599999999995</v>
      </c>
      <c r="E18" s="7">
        <v>0.122531</v>
      </c>
      <c r="F18" s="7">
        <v>0.151025834549989</v>
      </c>
    </row>
    <row r="19" spans="3:6" x14ac:dyDescent="0.2">
      <c r="C19" s="1">
        <v>13</v>
      </c>
      <c r="D19" s="7">
        <v>8.8479000000000002E-2</v>
      </c>
      <c r="E19" s="7">
        <v>0.70867199999999997</v>
      </c>
      <c r="F19" s="7">
        <v>-8.7607371041314303E-2</v>
      </c>
    </row>
    <row r="20" spans="3:6" x14ac:dyDescent="0.2">
      <c r="C20" s="1">
        <v>14</v>
      </c>
      <c r="D20" s="7">
        <v>0.7</v>
      </c>
      <c r="E20" s="7">
        <v>0.5</v>
      </c>
      <c r="F20" s="7">
        <v>0.62261207572372201</v>
      </c>
    </row>
    <row r="21" spans="3:6" x14ac:dyDescent="0.2">
      <c r="C21" s="1">
        <v>15</v>
      </c>
      <c r="D21" s="9">
        <v>0.71357300000000001</v>
      </c>
      <c r="E21" s="7" t="s">
        <v>31</v>
      </c>
      <c r="F21" s="7">
        <v>0.61570972133494695</v>
      </c>
    </row>
    <row r="22" spans="3:6" x14ac:dyDescent="0.2">
      <c r="C22" s="1">
        <v>16</v>
      </c>
      <c r="D22" s="7">
        <v>0.73443499999999995</v>
      </c>
      <c r="E22" s="7">
        <v>0.50606099999999998</v>
      </c>
      <c r="F22" s="7">
        <v>0.39345198389998798</v>
      </c>
    </row>
    <row r="23" spans="3:6" x14ac:dyDescent="0.2">
      <c r="C23" s="1">
        <v>17</v>
      </c>
      <c r="D23" s="7">
        <v>0.66679299999999997</v>
      </c>
      <c r="E23" s="7">
        <v>0.46202900000000002</v>
      </c>
      <c r="F23" s="7">
        <v>0.467109438197644</v>
      </c>
    </row>
    <row r="24" spans="3:6" x14ac:dyDescent="0.2">
      <c r="C24" s="1">
        <v>18</v>
      </c>
      <c r="D24" s="7">
        <v>0.69132899999999997</v>
      </c>
      <c r="E24" s="7">
        <v>0.88458099999999995</v>
      </c>
      <c r="F24" s="7">
        <v>0.60119793409994704</v>
      </c>
    </row>
    <row r="25" spans="3:6" x14ac:dyDescent="0.2">
      <c r="C25" s="1">
        <v>19</v>
      </c>
      <c r="D25" s="7">
        <v>0.70825400000000005</v>
      </c>
      <c r="E25" s="7">
        <v>0.378104</v>
      </c>
      <c r="F25" s="7">
        <v>0.65520028541582098</v>
      </c>
    </row>
    <row r="26" spans="3:6" x14ac:dyDescent="0.2">
      <c r="C26" s="1">
        <v>20</v>
      </c>
      <c r="D26" s="7">
        <v>0.71687999999999996</v>
      </c>
      <c r="E26" s="7">
        <v>0.39499499999999999</v>
      </c>
      <c r="F26" s="7">
        <v>0.430650617983595</v>
      </c>
    </row>
    <row r="27" spans="3:6" x14ac:dyDescent="0.2">
      <c r="C27" s="1">
        <v>21</v>
      </c>
      <c r="D27" s="7">
        <v>0.70056399999999996</v>
      </c>
      <c r="E27" s="7">
        <v>0.36917299999999997</v>
      </c>
      <c r="F27" s="7">
        <v>0.57595969960499804</v>
      </c>
    </row>
    <row r="28" spans="3:6" x14ac:dyDescent="0.2">
      <c r="C28" s="1">
        <v>22</v>
      </c>
      <c r="D28" s="7">
        <v>0.71051500000000001</v>
      </c>
      <c r="E28" s="7">
        <v>0.372081</v>
      </c>
      <c r="F28" s="7">
        <v>0.55177332252132205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E68B-E406-7D4B-A45D-6D1834B890C2}">
  <dimension ref="B5:W33"/>
  <sheetViews>
    <sheetView zoomScale="87" workbookViewId="0">
      <selection activeCell="R28" sqref="R28"/>
    </sheetView>
  </sheetViews>
  <sheetFormatPr baseColWidth="10" defaultRowHeight="16" x14ac:dyDescent="0.2"/>
  <sheetData>
    <row r="5" spans="2:23" x14ac:dyDescent="0.2">
      <c r="D5" s="1" t="s">
        <v>0</v>
      </c>
      <c r="E5" s="1" t="s">
        <v>1</v>
      </c>
      <c r="F5" s="1" t="s">
        <v>6</v>
      </c>
      <c r="G5" s="1" t="s">
        <v>2</v>
      </c>
    </row>
    <row r="6" spans="2:23" x14ac:dyDescent="0.2">
      <c r="B6" s="5" t="s">
        <v>5</v>
      </c>
      <c r="C6" s="1">
        <v>0</v>
      </c>
      <c r="D6" s="8">
        <v>0.17152500000000001</v>
      </c>
      <c r="E6" s="8">
        <v>0.34391699999999997</v>
      </c>
      <c r="F6" s="8">
        <v>0.24873700000000001</v>
      </c>
      <c r="G6" s="8">
        <v>-0.112122</v>
      </c>
      <c r="J6" t="s">
        <v>3</v>
      </c>
      <c r="K6" t="s">
        <v>4</v>
      </c>
      <c r="L6" t="s">
        <v>19</v>
      </c>
      <c r="M6" t="s">
        <v>24</v>
      </c>
      <c r="N6" t="s">
        <v>25</v>
      </c>
      <c r="O6" t="s">
        <v>28</v>
      </c>
      <c r="P6" t="s">
        <v>32</v>
      </c>
      <c r="Q6" t="s">
        <v>34</v>
      </c>
      <c r="R6" t="s">
        <v>39</v>
      </c>
      <c r="S6" t="s">
        <v>38</v>
      </c>
      <c r="T6" t="s">
        <v>43</v>
      </c>
      <c r="U6" t="s">
        <v>46</v>
      </c>
      <c r="V6" t="s">
        <v>47</v>
      </c>
      <c r="W6" t="s">
        <v>48</v>
      </c>
    </row>
    <row r="7" spans="2:23" x14ac:dyDescent="0.2">
      <c r="C7" s="1">
        <v>1</v>
      </c>
      <c r="D7" s="8">
        <v>0.242114</v>
      </c>
      <c r="E7" s="8">
        <v>0.64407400000000004</v>
      </c>
      <c r="F7" s="8">
        <v>0.27243299999999998</v>
      </c>
      <c r="G7" s="8">
        <v>-8.7963E-2</v>
      </c>
      <c r="J7">
        <f>MAX(G6:G20)</f>
        <v>-3.4834999999999998E-2</v>
      </c>
      <c r="K7">
        <f>MAX(G6:G21)</f>
        <v>-3.4834999999999998E-2</v>
      </c>
      <c r="L7">
        <f>MAX(G6:G22)</f>
        <v>-2.6300231157910798E-3</v>
      </c>
      <c r="M7">
        <f>MAX(G6:G23)</f>
        <v>-2.6300231157910798E-3</v>
      </c>
      <c r="N7">
        <f>MAX(G6:G24)</f>
        <v>-2.6300231157910798E-3</v>
      </c>
      <c r="O7">
        <f>MAX(G6:G25)</f>
        <v>-2.6300231157910798E-3</v>
      </c>
      <c r="P7">
        <f>MAX(G6:G26)</f>
        <v>-2.6300231157910798E-3</v>
      </c>
      <c r="Q7">
        <f>MAX(G6:G27)</f>
        <v>-2.6300231157910798E-3</v>
      </c>
      <c r="R7">
        <f>MAX(G6:G28)</f>
        <v>-2.6300231157910798E-3</v>
      </c>
      <c r="S7">
        <f>MAX(G6:G29)</f>
        <v>-2.2606053214240798E-3</v>
      </c>
      <c r="T7">
        <f>MAX(G6:G30)</f>
        <v>-2.2606053214240798E-3</v>
      </c>
      <c r="U7">
        <f>MAX(G6:G31)</f>
        <v>-2.2606053214240798E-3</v>
      </c>
      <c r="V7">
        <f>MAX(G6:G32)</f>
        <v>-1.0686760066704101E-3</v>
      </c>
      <c r="W7">
        <f>MAX(G6:G33)</f>
        <v>-1.0686760066704101E-3</v>
      </c>
    </row>
    <row r="8" spans="2:23" x14ac:dyDescent="0.2">
      <c r="C8" s="1">
        <v>2</v>
      </c>
      <c r="D8" s="8">
        <v>0.53490599999999999</v>
      </c>
      <c r="E8" s="8">
        <v>0.39850099999999999</v>
      </c>
      <c r="F8" s="8">
        <v>0.17338899999999999</v>
      </c>
      <c r="G8" s="8">
        <v>-0.111415</v>
      </c>
      <c r="I8" t="s">
        <v>37</v>
      </c>
      <c r="K8" s="6">
        <f>ABS((K7-J7)/J7)</f>
        <v>0</v>
      </c>
      <c r="L8" s="6">
        <f t="shared" ref="L8:Q8" si="0">ABS((L7-K7)/K7)</f>
        <v>0.92450055645784179</v>
      </c>
      <c r="M8" s="6">
        <f t="shared" si="0"/>
        <v>0</v>
      </c>
      <c r="N8" s="6">
        <f t="shared" si="0"/>
        <v>0</v>
      </c>
      <c r="O8" s="6">
        <f t="shared" si="0"/>
        <v>0</v>
      </c>
      <c r="P8" s="6">
        <f t="shared" si="0"/>
        <v>0</v>
      </c>
      <c r="Q8" s="6">
        <f t="shared" si="0"/>
        <v>0</v>
      </c>
      <c r="R8" s="6">
        <f t="shared" ref="R8" si="1">ABS((R7-Q7)/Q7)</f>
        <v>0</v>
      </c>
      <c r="S8" s="6">
        <f t="shared" ref="S8" si="2">ABS((S7-R7)/R7)</f>
        <v>0.14046180512595363</v>
      </c>
      <c r="T8" s="6">
        <f t="shared" ref="T8" si="3">ABS((T7-S7)/S7)</f>
        <v>0</v>
      </c>
      <c r="U8" s="6">
        <f t="shared" ref="U8" si="4">ABS((U7-T7)/T7)</f>
        <v>0</v>
      </c>
      <c r="V8" s="6">
        <f t="shared" ref="V8" si="5">ABS((V7-U7)/U7)</f>
        <v>0.52726112933451286</v>
      </c>
      <c r="W8" s="6">
        <f t="shared" ref="W8" si="6">ABS((W7-V7)/V7)</f>
        <v>0</v>
      </c>
    </row>
    <row r="9" spans="2:23" x14ac:dyDescent="0.2">
      <c r="C9" s="1">
        <v>3</v>
      </c>
      <c r="D9" s="8">
        <v>0.49258099999999999</v>
      </c>
      <c r="E9" s="8">
        <v>0.61159300000000005</v>
      </c>
      <c r="F9" s="8">
        <v>0.34017599999999998</v>
      </c>
      <c r="G9" s="8">
        <v>-3.4834999999999998E-2</v>
      </c>
    </row>
    <row r="10" spans="2:23" x14ac:dyDescent="0.2">
      <c r="C10" s="1">
        <v>4</v>
      </c>
      <c r="D10" s="8">
        <v>0.13462199999999999</v>
      </c>
      <c r="E10" s="8">
        <v>0.219917</v>
      </c>
      <c r="F10" s="8">
        <v>0.458206</v>
      </c>
      <c r="G10" s="8">
        <v>-4.8008000000000002E-2</v>
      </c>
    </row>
    <row r="11" spans="2:23" x14ac:dyDescent="0.2">
      <c r="C11" s="1">
        <v>5</v>
      </c>
      <c r="D11" s="8">
        <v>0.34552300000000002</v>
      </c>
      <c r="E11" s="8">
        <v>0.94135999999999997</v>
      </c>
      <c r="F11" s="8">
        <v>0.26936300000000002</v>
      </c>
      <c r="G11" s="8">
        <v>-0.110621</v>
      </c>
    </row>
    <row r="12" spans="2:23" x14ac:dyDescent="0.2">
      <c r="C12" s="1">
        <v>6</v>
      </c>
      <c r="D12" s="8">
        <v>0.151837</v>
      </c>
      <c r="E12" s="8">
        <v>0.43999100000000002</v>
      </c>
      <c r="F12" s="8">
        <v>0.99088200000000004</v>
      </c>
      <c r="G12" s="8">
        <v>-0.398926</v>
      </c>
    </row>
    <row r="13" spans="2:23" x14ac:dyDescent="0.2">
      <c r="C13" s="1">
        <v>7</v>
      </c>
      <c r="D13" s="8">
        <v>0.64550300000000005</v>
      </c>
      <c r="E13" s="8">
        <v>0.39714300000000002</v>
      </c>
      <c r="F13" s="8">
        <v>0.91977100000000001</v>
      </c>
      <c r="G13" s="8">
        <v>-0.113869</v>
      </c>
    </row>
    <row r="14" spans="2:23" x14ac:dyDescent="0.2">
      <c r="C14" s="1">
        <v>8</v>
      </c>
      <c r="D14" s="8">
        <v>0.74691200000000002</v>
      </c>
      <c r="E14" s="8">
        <v>0.284196</v>
      </c>
      <c r="F14" s="8">
        <v>0.2263</v>
      </c>
      <c r="G14" s="8">
        <v>-0.13146099999999999</v>
      </c>
    </row>
    <row r="15" spans="2:23" x14ac:dyDescent="0.2">
      <c r="C15" s="1">
        <v>9</v>
      </c>
      <c r="D15" s="8">
        <v>0.17047699999999999</v>
      </c>
      <c r="E15" s="8">
        <v>0.69703199999999998</v>
      </c>
      <c r="F15" s="8">
        <v>0.149169</v>
      </c>
      <c r="G15" s="8">
        <v>-9.4189999999999996E-2</v>
      </c>
    </row>
    <row r="16" spans="2:23" x14ac:dyDescent="0.2">
      <c r="C16" s="1">
        <v>10</v>
      </c>
      <c r="D16" s="8">
        <v>0.220549</v>
      </c>
      <c r="E16" s="8">
        <v>0.29782500000000001</v>
      </c>
      <c r="F16" s="8">
        <v>0.343555</v>
      </c>
      <c r="G16" s="8">
        <v>-4.6947000000000003E-2</v>
      </c>
    </row>
    <row r="17" spans="3:7" x14ac:dyDescent="0.2">
      <c r="C17" s="1">
        <v>11</v>
      </c>
      <c r="D17" s="8">
        <v>0.66601399999999999</v>
      </c>
      <c r="E17" s="8">
        <v>0.67198500000000005</v>
      </c>
      <c r="F17" s="8">
        <v>0.24629499999999999</v>
      </c>
      <c r="G17" s="8">
        <v>-0.105965</v>
      </c>
    </row>
    <row r="18" spans="3:7" x14ac:dyDescent="0.2">
      <c r="C18" s="1">
        <v>12</v>
      </c>
      <c r="D18" s="8">
        <v>4.6809000000000003E-2</v>
      </c>
      <c r="E18" s="8">
        <v>0.23136000000000001</v>
      </c>
      <c r="F18" s="8">
        <v>0.77061800000000003</v>
      </c>
      <c r="G18" s="8">
        <v>-0.118048</v>
      </c>
    </row>
    <row r="19" spans="3:7" x14ac:dyDescent="0.2">
      <c r="C19" s="1">
        <v>13</v>
      </c>
      <c r="D19" s="8">
        <v>0.60009699999999999</v>
      </c>
      <c r="E19" s="8">
        <v>0.725136</v>
      </c>
      <c r="F19" s="8">
        <v>6.6088999999999995E-2</v>
      </c>
      <c r="G19" s="8">
        <v>-3.6378000000000001E-2</v>
      </c>
    </row>
    <row r="20" spans="3:7" x14ac:dyDescent="0.2">
      <c r="C20" s="1">
        <v>14</v>
      </c>
      <c r="D20" s="8">
        <v>0.96599500000000005</v>
      </c>
      <c r="E20" s="8">
        <v>0.86112</v>
      </c>
      <c r="F20" s="8">
        <v>0.56682900000000003</v>
      </c>
      <c r="G20" s="8">
        <v>-5.6758000000000003E-2</v>
      </c>
    </row>
    <row r="21" spans="3:7" x14ac:dyDescent="0.2">
      <c r="C21" s="1">
        <v>15</v>
      </c>
      <c r="D21" s="7">
        <v>0.48427700000000001</v>
      </c>
      <c r="E21" s="7" t="s">
        <v>7</v>
      </c>
      <c r="F21" s="7">
        <v>0.18239</v>
      </c>
      <c r="G21" s="7">
        <v>-0.13030170056617801</v>
      </c>
    </row>
    <row r="22" spans="3:7" x14ac:dyDescent="0.2">
      <c r="C22" s="1">
        <v>16</v>
      </c>
      <c r="D22" s="7">
        <v>0.45911999999999997</v>
      </c>
      <c r="E22" s="7">
        <v>0.57861600000000002</v>
      </c>
      <c r="F22" s="7">
        <v>0.42138399999999998</v>
      </c>
      <c r="G22" s="7">
        <v>-2.6300231157910798E-3</v>
      </c>
    </row>
    <row r="23" spans="3:7" x14ac:dyDescent="0.2">
      <c r="C23" s="1">
        <v>17</v>
      </c>
      <c r="D23" s="7">
        <v>0.77514899999999998</v>
      </c>
      <c r="E23" s="7">
        <v>0.95271099999999997</v>
      </c>
      <c r="F23" s="7">
        <v>5.9880000000000003E-3</v>
      </c>
      <c r="G23" s="7">
        <v>-0.121242679494419</v>
      </c>
    </row>
    <row r="24" spans="3:7" x14ac:dyDescent="0.2">
      <c r="C24" s="1">
        <v>18</v>
      </c>
      <c r="D24" s="7">
        <v>0.99642200000000003</v>
      </c>
      <c r="E24" s="7">
        <v>0.87731499999999996</v>
      </c>
      <c r="F24" s="7">
        <v>0.98566200000000004</v>
      </c>
      <c r="G24" s="7">
        <v>-0.40374716298884999</v>
      </c>
    </row>
    <row r="25" spans="3:7" x14ac:dyDescent="0.2">
      <c r="C25" s="1">
        <v>19</v>
      </c>
      <c r="D25" s="7">
        <v>0.45357900000000001</v>
      </c>
      <c r="E25" s="7" t="s">
        <v>29</v>
      </c>
      <c r="F25" s="7">
        <v>0.40740900000000002</v>
      </c>
      <c r="G25" s="7">
        <v>-1.36717505875416E-2</v>
      </c>
    </row>
    <row r="26" spans="3:7" x14ac:dyDescent="0.2">
      <c r="C26" s="1">
        <v>20</v>
      </c>
      <c r="D26" s="7">
        <v>0.58311500000000005</v>
      </c>
      <c r="E26" s="7">
        <v>0.70962400000000003</v>
      </c>
      <c r="F26" s="7">
        <v>0.56938900000000003</v>
      </c>
      <c r="G26" s="9">
        <v>-4.4905036479098499E-2</v>
      </c>
    </row>
    <row r="27" spans="3:7" x14ac:dyDescent="0.2">
      <c r="C27" s="1">
        <v>21</v>
      </c>
      <c r="D27" s="7">
        <v>0.59181700000000004</v>
      </c>
      <c r="E27" s="7">
        <v>0.46910400000000002</v>
      </c>
      <c r="F27" s="7">
        <v>0.42563000000000001</v>
      </c>
      <c r="G27" s="7">
        <v>-1.4179000315548499E-2</v>
      </c>
    </row>
    <row r="28" spans="3:7" x14ac:dyDescent="0.2">
      <c r="C28" s="1">
        <v>22</v>
      </c>
      <c r="D28" s="7">
        <v>0.43507499999999999</v>
      </c>
      <c r="E28" s="7">
        <v>0.40006999999999998</v>
      </c>
      <c r="F28" s="7">
        <v>0.435027</v>
      </c>
      <c r="G28" s="7">
        <v>-1.7917485041419799E-2</v>
      </c>
    </row>
    <row r="29" spans="3:7" x14ac:dyDescent="0.2">
      <c r="C29" s="1">
        <v>23</v>
      </c>
      <c r="D29" s="7">
        <v>0.84442899999999999</v>
      </c>
      <c r="E29" s="7">
        <v>0.52921600000000002</v>
      </c>
      <c r="F29" s="7">
        <v>0.42418800000000001</v>
      </c>
      <c r="G29" s="7">
        <v>-2.2606053214240798E-3</v>
      </c>
    </row>
    <row r="30" spans="3:7" x14ac:dyDescent="0.2">
      <c r="C30" s="1">
        <v>24</v>
      </c>
      <c r="D30" s="7">
        <v>0.64780199999999999</v>
      </c>
      <c r="E30" s="7">
        <v>0.59405300000000005</v>
      </c>
      <c r="F30" s="7">
        <v>0.42838999999999999</v>
      </c>
      <c r="G30" s="7">
        <v>-8.4991450589003096E-3</v>
      </c>
    </row>
    <row r="31" spans="3:7" x14ac:dyDescent="0.2">
      <c r="C31" s="1">
        <v>25</v>
      </c>
      <c r="D31" s="7">
        <v>0.64544400000000002</v>
      </c>
      <c r="E31" s="7">
        <v>0.53237699999999999</v>
      </c>
      <c r="F31" s="7">
        <v>0.51358300000000001</v>
      </c>
      <c r="G31" s="7">
        <v>-1.34141404474801E-2</v>
      </c>
    </row>
    <row r="32" spans="3:7" x14ac:dyDescent="0.2">
      <c r="C32" s="1">
        <v>26</v>
      </c>
      <c r="D32" s="7">
        <v>0.89563300000000001</v>
      </c>
      <c r="E32" s="7">
        <v>0.56100099999999997</v>
      </c>
      <c r="F32" s="7">
        <v>0.46715200000000001</v>
      </c>
      <c r="G32" s="7">
        <v>-1.0686760066704101E-3</v>
      </c>
    </row>
    <row r="33" spans="3:7" x14ac:dyDescent="0.2">
      <c r="C33" s="1">
        <v>27</v>
      </c>
      <c r="D33" s="7">
        <v>0.88816200000000001</v>
      </c>
      <c r="E33" s="7">
        <v>0.51540399999999997</v>
      </c>
      <c r="F33" s="7">
        <v>0.44546599999999997</v>
      </c>
      <c r="G33" s="7">
        <v>-6.8625880656943703E-3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6313-8CF8-3846-9B64-72D54ABD4948}">
  <dimension ref="B5:X48"/>
  <sheetViews>
    <sheetView topLeftCell="J1" zoomScale="61" workbookViewId="0">
      <selection activeCell="G48" sqref="G48"/>
    </sheetView>
  </sheetViews>
  <sheetFormatPr baseColWidth="10" defaultRowHeight="16" x14ac:dyDescent="0.2"/>
  <cols>
    <col min="10" max="10" width="31.33203125" customWidth="1"/>
    <col min="11" max="11" width="16.83203125" customWidth="1"/>
    <col min="12" max="12" width="17.33203125" customWidth="1"/>
    <col min="13" max="13" width="15.6640625" customWidth="1"/>
    <col min="14" max="14" width="14.33203125" customWidth="1"/>
    <col min="18" max="19" width="16.5" customWidth="1"/>
    <col min="20" max="20" width="16.33203125" customWidth="1"/>
    <col min="21" max="21" width="15.83203125" customWidth="1"/>
    <col min="22" max="22" width="17.1640625" customWidth="1"/>
    <col min="23" max="23" width="14.6640625" customWidth="1"/>
    <col min="24" max="24" width="15.83203125" customWidth="1"/>
  </cols>
  <sheetData>
    <row r="5" spans="2:24" x14ac:dyDescent="0.2">
      <c r="D5" s="1" t="s">
        <v>0</v>
      </c>
      <c r="E5" s="1" t="s">
        <v>1</v>
      </c>
      <c r="F5" s="1" t="s">
        <v>6</v>
      </c>
      <c r="G5" s="1" t="s">
        <v>8</v>
      </c>
      <c r="H5" s="1" t="s">
        <v>2</v>
      </c>
      <c r="K5" s="1" t="s">
        <v>3</v>
      </c>
      <c r="L5" s="1" t="s">
        <v>4</v>
      </c>
      <c r="M5" s="1" t="s">
        <v>18</v>
      </c>
      <c r="N5" s="1" t="s">
        <v>24</v>
      </c>
      <c r="O5" s="1" t="s">
        <v>25</v>
      </c>
      <c r="P5" s="1" t="s">
        <v>28</v>
      </c>
      <c r="Q5" s="1" t="s">
        <v>32</v>
      </c>
      <c r="R5" s="1" t="s">
        <v>34</v>
      </c>
      <c r="S5" s="1" t="s">
        <v>39</v>
      </c>
      <c r="T5" s="1" t="s">
        <v>38</v>
      </c>
      <c r="U5" s="1" t="s">
        <v>43</v>
      </c>
      <c r="V5" s="1" t="s">
        <v>46</v>
      </c>
      <c r="W5" s="1" t="s">
        <v>47</v>
      </c>
      <c r="X5" s="1" t="s">
        <v>48</v>
      </c>
    </row>
    <row r="6" spans="2:24" x14ac:dyDescent="0.2">
      <c r="C6" s="1">
        <v>0</v>
      </c>
      <c r="D6" s="8">
        <v>0.89698100000000003</v>
      </c>
      <c r="E6" s="8">
        <v>0.72562800000000005</v>
      </c>
      <c r="F6" s="8">
        <v>0.175404</v>
      </c>
      <c r="G6" s="8">
        <v>0.70169400000000004</v>
      </c>
      <c r="H6" s="8">
        <v>-22.108288000000002</v>
      </c>
      <c r="K6">
        <f>MAX(H6:H35)</f>
        <v>-4.0255419999999997</v>
      </c>
      <c r="L6">
        <f>MAX(H6:H36)</f>
        <v>-4.0255419999999997</v>
      </c>
      <c r="M6">
        <f>MAX(H6:H37)</f>
        <v>-3.5744364039149001</v>
      </c>
      <c r="N6">
        <f>MAX(H6:H38)</f>
        <v>-3.5744364039149001</v>
      </c>
      <c r="O6">
        <f>MAX(H6:H39)</f>
        <v>-1.7448021185936899</v>
      </c>
      <c r="P6">
        <f>MAX(H6:H40)</f>
        <v>-1.7448021185936899</v>
      </c>
      <c r="Q6">
        <f>MAX(H6:H41)</f>
        <v>-1.5194726783305901</v>
      </c>
      <c r="R6">
        <f>MAX(H6:H42)</f>
        <v>-0.67095325634848202</v>
      </c>
      <c r="S6">
        <f>MAX(H6:H43)</f>
        <v>0.30574307678830298</v>
      </c>
      <c r="T6">
        <f>MAX(H6:H44)</f>
        <v>0.36952809492683197</v>
      </c>
      <c r="U6">
        <f>MAX(H6:H45)</f>
        <v>0.55920606270778705</v>
      </c>
      <c r="V6">
        <f>MAX(H6:H46)</f>
        <v>0.68044369644740899</v>
      </c>
      <c r="W6">
        <f>MAX(H6:H47)</f>
        <v>0.68044369644740899</v>
      </c>
      <c r="X6">
        <f>MAX(H6:H48)</f>
        <v>0.68044369644740899</v>
      </c>
    </row>
    <row r="7" spans="2:24" x14ac:dyDescent="0.2">
      <c r="C7" s="1">
        <v>1</v>
      </c>
      <c r="D7" s="8">
        <v>0.88935600000000004</v>
      </c>
      <c r="E7" s="8">
        <v>0.49958799999999998</v>
      </c>
      <c r="F7" s="8">
        <v>0.539269</v>
      </c>
      <c r="G7" s="8">
        <v>0.50878299999999999</v>
      </c>
      <c r="H7" s="8">
        <v>-14.601397</v>
      </c>
      <c r="J7" t="s">
        <v>37</v>
      </c>
      <c r="L7" s="6">
        <f>ABS((L6-K6)/K6)</f>
        <v>0</v>
      </c>
      <c r="M7" s="6">
        <f t="shared" ref="M7:R7" si="0">ABS((M6-L6)/L6)</f>
        <v>0.11206083456217812</v>
      </c>
      <c r="N7" s="6">
        <f t="shared" si="0"/>
        <v>0</v>
      </c>
      <c r="O7" s="6">
        <f t="shared" si="0"/>
        <v>0.51186650944951884</v>
      </c>
      <c r="P7" s="6">
        <f t="shared" si="0"/>
        <v>0</v>
      </c>
      <c r="Q7" s="6">
        <f t="shared" si="0"/>
        <v>0.12914326379011698</v>
      </c>
      <c r="R7" s="6">
        <f t="shared" si="0"/>
        <v>0.55843019363425273</v>
      </c>
      <c r="S7" s="6">
        <f t="shared" ref="S7" si="1">ABS((S6-R6)/R6)</f>
        <v>1.4556846157245642</v>
      </c>
      <c r="T7" s="6">
        <f t="shared" ref="T7" si="2">ABS((T6-S6)/S6)</f>
        <v>0.20862293533695891</v>
      </c>
      <c r="U7" s="6">
        <f t="shared" ref="U7" si="3">ABS((U6-T6)/T6)</f>
        <v>0.51329782602460061</v>
      </c>
      <c r="V7" s="6">
        <f t="shared" ref="V7" si="4">ABS((V6-U6)/U6)</f>
        <v>0.21680314614717369</v>
      </c>
      <c r="W7" s="6">
        <f t="shared" ref="W7" si="5">ABS((W6-V6)/V6)</f>
        <v>0</v>
      </c>
      <c r="X7" s="6">
        <f t="shared" ref="X7" si="6">ABS((X6-W6)/W6)</f>
        <v>0</v>
      </c>
    </row>
    <row r="8" spans="2:24" x14ac:dyDescent="0.2">
      <c r="B8" s="5" t="s">
        <v>5</v>
      </c>
      <c r="C8" s="1">
        <v>2</v>
      </c>
      <c r="D8" s="8">
        <v>0.250946</v>
      </c>
      <c r="E8" s="8">
        <v>3.3693000000000001E-2</v>
      </c>
      <c r="F8" s="8">
        <v>0.14538000000000001</v>
      </c>
      <c r="G8" s="8">
        <v>0.49493199999999998</v>
      </c>
      <c r="H8" s="8">
        <v>-11.699932</v>
      </c>
    </row>
    <row r="9" spans="2:24" x14ac:dyDescent="0.2">
      <c r="C9" s="1">
        <v>3</v>
      </c>
      <c r="D9" s="8">
        <v>0.34696199999999999</v>
      </c>
      <c r="E9" s="8">
        <v>6.2500000000000003E-3</v>
      </c>
      <c r="F9" s="8">
        <v>0.76056400000000002</v>
      </c>
      <c r="G9" s="8">
        <v>0.61302400000000001</v>
      </c>
      <c r="H9" s="8">
        <v>-16.053764999999999</v>
      </c>
    </row>
    <row r="10" spans="2:24" x14ac:dyDescent="0.2">
      <c r="C10" s="1">
        <v>4</v>
      </c>
      <c r="D10" s="8">
        <v>0.124871</v>
      </c>
      <c r="E10" s="8">
        <v>0.12977</v>
      </c>
      <c r="F10" s="8">
        <v>0.38440000000000002</v>
      </c>
      <c r="G10" s="8">
        <v>0.287076</v>
      </c>
      <c r="H10" s="8">
        <v>-10.069633</v>
      </c>
    </row>
    <row r="11" spans="2:24" x14ac:dyDescent="0.2">
      <c r="C11" s="1">
        <v>5</v>
      </c>
      <c r="D11" s="8">
        <v>0.80130299999999999</v>
      </c>
      <c r="E11" s="8">
        <v>0.50023099999999998</v>
      </c>
      <c r="F11" s="8">
        <v>0.70664499999999997</v>
      </c>
      <c r="G11" s="8">
        <v>0.195103</v>
      </c>
      <c r="H11" s="8">
        <v>-15.487083</v>
      </c>
    </row>
    <row r="12" spans="2:24" x14ac:dyDescent="0.2">
      <c r="C12" s="1">
        <v>6</v>
      </c>
      <c r="D12" s="8">
        <v>0.24770800000000001</v>
      </c>
      <c r="E12" s="8">
        <v>6.0444999999999999E-2</v>
      </c>
      <c r="F12" s="8">
        <v>4.2186000000000001E-2</v>
      </c>
      <c r="G12" s="8">
        <v>0.44132399999999999</v>
      </c>
      <c r="H12" s="8">
        <v>-12.681685</v>
      </c>
    </row>
    <row r="13" spans="2:24" x14ac:dyDescent="0.2">
      <c r="C13" s="1">
        <v>7</v>
      </c>
      <c r="D13" s="8">
        <v>0.74670199999999998</v>
      </c>
      <c r="E13" s="8">
        <v>0.75709199999999999</v>
      </c>
      <c r="F13" s="8">
        <v>0.36935299999999999</v>
      </c>
      <c r="G13" s="8">
        <v>0.206566</v>
      </c>
      <c r="H13" s="8">
        <v>-16.026399999999999</v>
      </c>
    </row>
    <row r="14" spans="2:24" x14ac:dyDescent="0.2">
      <c r="C14" s="1">
        <v>8</v>
      </c>
      <c r="D14" s="8">
        <v>0.40066499999999999</v>
      </c>
      <c r="E14" s="8">
        <v>7.2574E-2</v>
      </c>
      <c r="F14" s="8">
        <v>0.886768</v>
      </c>
      <c r="G14" s="8">
        <v>0.243842</v>
      </c>
      <c r="H14" s="8">
        <v>-17.049234999999999</v>
      </c>
    </row>
    <row r="15" spans="2:24" x14ac:dyDescent="0.2">
      <c r="C15" s="1">
        <v>9</v>
      </c>
      <c r="D15" s="8">
        <v>0.62607100000000004</v>
      </c>
      <c r="E15" s="8">
        <v>0.58675100000000002</v>
      </c>
      <c r="F15" s="8">
        <v>0.43880599999999997</v>
      </c>
      <c r="G15" s="8">
        <v>0.77885800000000005</v>
      </c>
      <c r="H15" s="8">
        <v>-12.741766</v>
      </c>
    </row>
    <row r="16" spans="2:24" x14ac:dyDescent="0.2">
      <c r="C16" s="1">
        <v>10</v>
      </c>
      <c r="D16" s="8">
        <v>0.95713499999999996</v>
      </c>
      <c r="E16" s="8">
        <v>0.59764399999999995</v>
      </c>
      <c r="F16" s="8">
        <v>0.76611399999999996</v>
      </c>
      <c r="G16" s="8">
        <v>0.77620999999999996</v>
      </c>
      <c r="H16" s="8">
        <v>-27.316396000000001</v>
      </c>
    </row>
    <row r="17" spans="3:8" x14ac:dyDescent="0.2">
      <c r="C17" s="1">
        <v>11</v>
      </c>
      <c r="D17" s="8">
        <v>0.73281200000000002</v>
      </c>
      <c r="E17" s="8">
        <v>0.14524999999999999</v>
      </c>
      <c r="F17" s="8">
        <v>0.47681299999999999</v>
      </c>
      <c r="G17" s="8">
        <v>0.13336600000000001</v>
      </c>
      <c r="H17" s="8">
        <v>-13.527649</v>
      </c>
    </row>
    <row r="18" spans="3:8" x14ac:dyDescent="0.2">
      <c r="C18" s="1">
        <v>12</v>
      </c>
      <c r="D18" s="8">
        <v>0.655115</v>
      </c>
      <c r="E18" s="8">
        <v>7.2391999999999998E-2</v>
      </c>
      <c r="F18" s="8">
        <v>0.68715199999999999</v>
      </c>
      <c r="G18" s="8">
        <v>8.1517000000000006E-2</v>
      </c>
      <c r="H18" s="8">
        <v>-16.679114999999999</v>
      </c>
    </row>
    <row r="19" spans="3:8" x14ac:dyDescent="0.2">
      <c r="C19" s="1">
        <v>13</v>
      </c>
      <c r="D19" s="8">
        <v>0.21973400000000001</v>
      </c>
      <c r="E19" s="8">
        <v>0.83203099999999997</v>
      </c>
      <c r="F19" s="8">
        <v>0.48286400000000002</v>
      </c>
      <c r="G19" s="8">
        <v>8.2569000000000004E-2</v>
      </c>
      <c r="H19" s="8">
        <v>-16.507159000000001</v>
      </c>
    </row>
    <row r="20" spans="3:8" x14ac:dyDescent="0.2">
      <c r="C20" s="1">
        <v>14</v>
      </c>
      <c r="D20" s="8">
        <v>0.48859399999999997</v>
      </c>
      <c r="E20" s="8">
        <v>0.21196499999999999</v>
      </c>
      <c r="F20" s="8">
        <v>0.93917799999999996</v>
      </c>
      <c r="G20" s="8">
        <v>0.37619200000000003</v>
      </c>
      <c r="H20" s="8">
        <v>-17.817999</v>
      </c>
    </row>
    <row r="21" spans="3:8" x14ac:dyDescent="0.2">
      <c r="C21" s="1">
        <v>15</v>
      </c>
      <c r="D21" s="8">
        <v>0.16713</v>
      </c>
      <c r="E21" s="8">
        <v>0.87655499999999997</v>
      </c>
      <c r="F21" s="8">
        <v>0.21723999999999999</v>
      </c>
      <c r="G21" s="8">
        <v>0.95980100000000002</v>
      </c>
      <c r="H21" s="8">
        <v>-26.561820999999998</v>
      </c>
    </row>
    <row r="22" spans="3:8" x14ac:dyDescent="0.2">
      <c r="C22" s="1">
        <v>16</v>
      </c>
      <c r="D22" s="8">
        <v>0.21691099999999999</v>
      </c>
      <c r="E22" s="8">
        <v>0.16608600000000001</v>
      </c>
      <c r="F22" s="8">
        <v>0.241372</v>
      </c>
      <c r="G22" s="8">
        <v>0.77006200000000002</v>
      </c>
      <c r="H22" s="8">
        <v>-12.758324</v>
      </c>
    </row>
    <row r="23" spans="3:8" x14ac:dyDescent="0.2">
      <c r="C23" s="1">
        <v>17</v>
      </c>
      <c r="D23" s="8">
        <v>0.387488</v>
      </c>
      <c r="E23" s="8">
        <v>0.80453200000000002</v>
      </c>
      <c r="F23" s="8">
        <v>0.75179499999999999</v>
      </c>
      <c r="G23" s="8">
        <v>0.723827</v>
      </c>
      <c r="H23" s="8">
        <v>-19.441558000000001</v>
      </c>
    </row>
    <row r="24" spans="3:8" x14ac:dyDescent="0.2">
      <c r="C24" s="1">
        <v>18</v>
      </c>
      <c r="D24" s="8">
        <v>0.985622</v>
      </c>
      <c r="E24" s="8">
        <v>0.666933</v>
      </c>
      <c r="F24" s="8">
        <v>0.15678300000000001</v>
      </c>
      <c r="G24" s="8">
        <v>0.85653500000000005</v>
      </c>
      <c r="H24" s="8">
        <v>-28.903274</v>
      </c>
    </row>
    <row r="25" spans="3:8" x14ac:dyDescent="0.2">
      <c r="C25" s="1">
        <v>19</v>
      </c>
      <c r="D25" s="8">
        <v>3.7824999999999998E-2</v>
      </c>
      <c r="E25" s="8">
        <v>0.66485300000000003</v>
      </c>
      <c r="F25" s="8">
        <v>0.16198199999999999</v>
      </c>
      <c r="G25" s="8">
        <v>0.25392399999999998</v>
      </c>
      <c r="H25" s="8">
        <v>-13.702747</v>
      </c>
    </row>
    <row r="26" spans="3:8" x14ac:dyDescent="0.2">
      <c r="C26" s="1">
        <v>20</v>
      </c>
      <c r="D26" s="8">
        <v>0.68348600000000004</v>
      </c>
      <c r="E26" s="8">
        <v>0.90276999999999996</v>
      </c>
      <c r="F26" s="8">
        <v>0.33542</v>
      </c>
      <c r="G26" s="8">
        <v>0.99948300000000001</v>
      </c>
      <c r="H26" s="8">
        <v>-29.427091000000001</v>
      </c>
    </row>
    <row r="27" spans="3:8" x14ac:dyDescent="0.2">
      <c r="C27" s="1">
        <v>21</v>
      </c>
      <c r="D27" s="8">
        <v>0.170347</v>
      </c>
      <c r="E27" s="8">
        <v>0.75695900000000005</v>
      </c>
      <c r="F27" s="8">
        <v>0.27651999999999999</v>
      </c>
      <c r="G27" s="8">
        <v>0.53123100000000001</v>
      </c>
      <c r="H27" s="8">
        <v>-11.565742</v>
      </c>
    </row>
    <row r="28" spans="3:8" x14ac:dyDescent="0.2">
      <c r="C28" s="1">
        <v>22</v>
      </c>
      <c r="D28" s="8">
        <v>0.859657</v>
      </c>
      <c r="E28" s="8">
        <v>0.91959199999999996</v>
      </c>
      <c r="F28" s="8">
        <v>0.20613899999999999</v>
      </c>
      <c r="G28" s="8">
        <v>9.7796999999999995E-2</v>
      </c>
      <c r="H28" s="8">
        <v>-26.857786000000001</v>
      </c>
    </row>
    <row r="29" spans="3:8" x14ac:dyDescent="0.2">
      <c r="C29" s="1">
        <v>23</v>
      </c>
      <c r="D29" s="8">
        <v>0.282138</v>
      </c>
      <c r="E29" s="8">
        <v>0.50598699999999996</v>
      </c>
      <c r="F29" s="8">
        <v>0.53053099999999997</v>
      </c>
      <c r="G29" s="8">
        <v>9.6301999999999999E-2</v>
      </c>
      <c r="H29" s="8">
        <v>-7.9667750000000002</v>
      </c>
    </row>
    <row r="30" spans="3:8" x14ac:dyDescent="0.2">
      <c r="C30" s="1">
        <v>24</v>
      </c>
      <c r="D30" s="8">
        <v>0.32607599999999998</v>
      </c>
      <c r="E30" s="8">
        <v>0.47236699999999998</v>
      </c>
      <c r="F30" s="8">
        <v>0.45319199999999998</v>
      </c>
      <c r="G30" s="8">
        <v>0.105887</v>
      </c>
      <c r="H30" s="8">
        <v>-6.702089</v>
      </c>
    </row>
    <row r="31" spans="3:8" x14ac:dyDescent="0.2">
      <c r="C31" s="1">
        <v>25</v>
      </c>
      <c r="D31" s="8">
        <v>0.94838900000000004</v>
      </c>
      <c r="E31" s="8">
        <v>0.894513</v>
      </c>
      <c r="F31" s="8">
        <v>0.85163800000000001</v>
      </c>
      <c r="G31" s="8">
        <v>0.55219600000000002</v>
      </c>
      <c r="H31" s="8">
        <v>-32.625660000000003</v>
      </c>
    </row>
    <row r="32" spans="3:8" x14ac:dyDescent="0.2">
      <c r="C32" s="1">
        <v>26</v>
      </c>
      <c r="D32" s="8">
        <v>0.66495499999999996</v>
      </c>
      <c r="E32" s="8">
        <v>4.6566000000000003E-2</v>
      </c>
      <c r="F32" s="8">
        <v>0.11677700000000001</v>
      </c>
      <c r="G32" s="8">
        <v>0.79371800000000003</v>
      </c>
      <c r="H32" s="8">
        <v>-19.989498000000001</v>
      </c>
    </row>
    <row r="33" spans="3:8" x14ac:dyDescent="0.2">
      <c r="C33" s="1">
        <v>27</v>
      </c>
      <c r="D33" s="8">
        <v>0.577766</v>
      </c>
      <c r="E33" s="8">
        <v>0.42877199999999999</v>
      </c>
      <c r="F33" s="8">
        <v>0.42582599999999998</v>
      </c>
      <c r="G33" s="8">
        <v>0.24900700000000001</v>
      </c>
      <c r="H33" s="8">
        <v>-4.0255419999999997</v>
      </c>
    </row>
    <row r="34" spans="3:8" x14ac:dyDescent="0.2">
      <c r="C34" s="1">
        <v>28</v>
      </c>
      <c r="D34" s="8">
        <v>0.73861299999999996</v>
      </c>
      <c r="E34" s="8">
        <v>0.482103</v>
      </c>
      <c r="F34" s="8">
        <v>0.70936600000000005</v>
      </c>
      <c r="G34" s="8">
        <v>0.50397000000000003</v>
      </c>
      <c r="H34" s="8">
        <v>-13.122782000000001</v>
      </c>
    </row>
    <row r="35" spans="3:8" x14ac:dyDescent="0.2">
      <c r="C35" s="1">
        <v>29</v>
      </c>
      <c r="D35" s="8">
        <v>0.85481099999999999</v>
      </c>
      <c r="E35" s="8">
        <v>0.49396499999999999</v>
      </c>
      <c r="F35" s="8">
        <v>0.73531000000000002</v>
      </c>
      <c r="G35" s="8">
        <v>0.80809200000000003</v>
      </c>
      <c r="H35" s="8">
        <v>-23.139427999999999</v>
      </c>
    </row>
    <row r="36" spans="3:8" x14ac:dyDescent="0.2">
      <c r="C36" s="1">
        <v>30</v>
      </c>
      <c r="D36" s="7">
        <v>0.48979600000000001</v>
      </c>
      <c r="E36" s="7">
        <v>0.44897999999999999</v>
      </c>
      <c r="F36" s="7">
        <v>0.44897999999999999</v>
      </c>
      <c r="G36" s="7">
        <v>0.20408200000000001</v>
      </c>
      <c r="H36" s="7">
        <v>-4.1949536517320603</v>
      </c>
    </row>
    <row r="37" spans="3:8" x14ac:dyDescent="0.2">
      <c r="C37" s="1">
        <v>31</v>
      </c>
      <c r="D37" s="7">
        <v>0.53061199999999997</v>
      </c>
      <c r="E37" s="7">
        <v>0.42857099999999998</v>
      </c>
      <c r="F37" s="7" t="s">
        <v>20</v>
      </c>
      <c r="G37" s="7">
        <v>0.22449</v>
      </c>
      <c r="H37" s="7">
        <v>-3.5744364039149001</v>
      </c>
    </row>
    <row r="38" spans="3:8" x14ac:dyDescent="0.2">
      <c r="C38" s="1">
        <v>32</v>
      </c>
      <c r="D38" s="7">
        <v>5.2160000000000002E-3</v>
      </c>
      <c r="E38" s="7" t="s">
        <v>22</v>
      </c>
      <c r="F38" s="7">
        <v>0.908053</v>
      </c>
      <c r="G38" s="7">
        <v>0.98960800000000004</v>
      </c>
      <c r="H38" s="7">
        <v>-35.026461859239298</v>
      </c>
    </row>
    <row r="39" spans="3:8" x14ac:dyDescent="0.2">
      <c r="C39" s="1">
        <v>33</v>
      </c>
      <c r="D39" s="7">
        <v>0.44003999999999999</v>
      </c>
      <c r="E39" s="7">
        <v>0.40557399999999999</v>
      </c>
      <c r="F39" s="7">
        <v>0.27306900000000001</v>
      </c>
      <c r="G39" s="7">
        <v>0.46197199999999999</v>
      </c>
      <c r="H39" s="7">
        <v>-1.7448021185936899</v>
      </c>
    </row>
    <row r="40" spans="3:8" x14ac:dyDescent="0.2">
      <c r="C40" s="1">
        <v>34</v>
      </c>
      <c r="D40" s="7">
        <v>0.31779299999999999</v>
      </c>
      <c r="E40" s="7">
        <v>0.44503199999999998</v>
      </c>
      <c r="F40" s="7">
        <v>0.46626099999999998</v>
      </c>
      <c r="G40" s="7">
        <v>0.46334500000000001</v>
      </c>
      <c r="H40" s="7">
        <v>-1.8213574273165201</v>
      </c>
    </row>
    <row r="41" spans="3:8" x14ac:dyDescent="0.2">
      <c r="C41" s="1">
        <v>35</v>
      </c>
      <c r="D41" s="7">
        <v>0.44815899999999997</v>
      </c>
      <c r="E41" s="7">
        <v>0.51873499999999995</v>
      </c>
      <c r="F41" s="7">
        <v>0.36787700000000001</v>
      </c>
      <c r="G41" s="7">
        <v>0.41096500000000002</v>
      </c>
      <c r="H41" s="7">
        <v>-1.5194726783305901</v>
      </c>
    </row>
    <row r="42" spans="3:8" x14ac:dyDescent="0.2">
      <c r="C42" s="1">
        <v>36</v>
      </c>
      <c r="D42" s="7">
        <v>0.40451999999999999</v>
      </c>
      <c r="E42" s="7">
        <v>0.36885099999999998</v>
      </c>
      <c r="F42" s="7">
        <v>0.432035</v>
      </c>
      <c r="G42" s="7">
        <v>0.47088799999999997</v>
      </c>
      <c r="H42" s="7">
        <v>-0.67095325634848202</v>
      </c>
    </row>
    <row r="43" spans="3:8" x14ac:dyDescent="0.2">
      <c r="C43" s="1">
        <v>37</v>
      </c>
      <c r="D43" s="7">
        <v>0.37694100000000003</v>
      </c>
      <c r="E43" s="7">
        <v>0.34438000000000002</v>
      </c>
      <c r="F43" s="7">
        <v>0.38915</v>
      </c>
      <c r="G43" s="7">
        <v>0.37129000000000001</v>
      </c>
      <c r="H43" s="7">
        <v>0.30574307678830298</v>
      </c>
    </row>
    <row r="44" spans="3:8" x14ac:dyDescent="0.2">
      <c r="C44" s="1">
        <v>38</v>
      </c>
      <c r="D44" s="7">
        <v>0.43686199999999997</v>
      </c>
      <c r="E44" s="7">
        <v>0.34920499999999999</v>
      </c>
      <c r="F44" s="7">
        <v>0.34298600000000001</v>
      </c>
      <c r="G44" s="7">
        <v>0.35829899999999998</v>
      </c>
      <c r="H44" s="7">
        <v>0.36952809492683197</v>
      </c>
    </row>
    <row r="45" spans="3:8" x14ac:dyDescent="0.2">
      <c r="C45" s="1">
        <v>39</v>
      </c>
      <c r="D45" s="7">
        <v>0.41058099999999997</v>
      </c>
      <c r="E45" s="7">
        <v>0.393007</v>
      </c>
      <c r="F45" s="7">
        <v>0.42943599999999998</v>
      </c>
      <c r="G45" s="7">
        <v>0.35645199999999999</v>
      </c>
      <c r="H45" s="7">
        <v>0.55920606270778705</v>
      </c>
    </row>
    <row r="46" spans="3:8" x14ac:dyDescent="0.2">
      <c r="C46" s="1">
        <v>40</v>
      </c>
      <c r="D46" s="7">
        <v>0.42599300000000001</v>
      </c>
      <c r="E46" s="7">
        <v>0.35947499999999999</v>
      </c>
      <c r="F46" s="7">
        <v>0.40854699999999999</v>
      </c>
      <c r="G46" s="7">
        <v>0.35632900000000001</v>
      </c>
      <c r="H46" s="7">
        <v>0.68044369644740899</v>
      </c>
    </row>
    <row r="47" spans="3:8" x14ac:dyDescent="0.2">
      <c r="C47" s="1">
        <v>41</v>
      </c>
      <c r="D47" s="7">
        <v>0.43745499999999998</v>
      </c>
      <c r="E47" s="7">
        <v>0.38873099999999999</v>
      </c>
      <c r="F47" s="7">
        <v>0.40526899999999999</v>
      </c>
      <c r="G47" s="7">
        <v>0.377743</v>
      </c>
      <c r="H47" s="7">
        <v>0.17685467072547201</v>
      </c>
    </row>
    <row r="48" spans="3:8" x14ac:dyDescent="0.2">
      <c r="C48" s="1">
        <v>42</v>
      </c>
      <c r="D48" s="7">
        <v>0.408891</v>
      </c>
      <c r="E48" s="7">
        <v>0.342949</v>
      </c>
      <c r="F48" s="7">
        <v>0.45907700000000001</v>
      </c>
      <c r="G48" s="7">
        <v>0.325853</v>
      </c>
      <c r="H48" s="7">
        <v>-0.56876361099636297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8B75-73FE-794F-B685-B1B5FA4F960C}">
  <dimension ref="B5:X38"/>
  <sheetViews>
    <sheetView topLeftCell="C1" zoomScale="66" workbookViewId="0">
      <selection activeCell="Q34" sqref="Q34"/>
    </sheetView>
  </sheetViews>
  <sheetFormatPr baseColWidth="10" defaultRowHeight="16" x14ac:dyDescent="0.2"/>
  <cols>
    <col min="10" max="10" width="27" customWidth="1"/>
    <col min="12" max="12" width="16.33203125" customWidth="1"/>
    <col min="13" max="13" width="15.5" customWidth="1"/>
    <col min="14" max="14" width="17.33203125" customWidth="1"/>
    <col min="15" max="15" width="17.83203125" customWidth="1"/>
    <col min="16" max="16" width="15.83203125" customWidth="1"/>
    <col min="17" max="17" width="16.33203125" customWidth="1"/>
    <col min="18" max="18" width="18.1640625" customWidth="1"/>
    <col min="19" max="19" width="17.33203125" customWidth="1"/>
    <col min="20" max="20" width="15.6640625" customWidth="1"/>
    <col min="21" max="21" width="23.1640625" customWidth="1"/>
    <col min="22" max="23" width="16.1640625" customWidth="1"/>
    <col min="24" max="24" width="20.5" customWidth="1"/>
  </cols>
  <sheetData>
    <row r="5" spans="2:24" x14ac:dyDescent="0.2">
      <c r="D5" s="1" t="s">
        <v>0</v>
      </c>
      <c r="E5" s="1" t="s">
        <v>1</v>
      </c>
      <c r="F5" s="1" t="s">
        <v>6</v>
      </c>
      <c r="G5" s="1" t="s">
        <v>8</v>
      </c>
      <c r="H5" s="1" t="s">
        <v>2</v>
      </c>
      <c r="K5" s="1" t="s">
        <v>3</v>
      </c>
      <c r="L5" s="1" t="s">
        <v>4</v>
      </c>
      <c r="M5" s="1" t="s">
        <v>18</v>
      </c>
      <c r="N5" s="1" t="s">
        <v>24</v>
      </c>
      <c r="O5" s="1" t="s">
        <v>25</v>
      </c>
      <c r="P5" s="1" t="s">
        <v>28</v>
      </c>
      <c r="Q5" s="1" t="s">
        <v>32</v>
      </c>
      <c r="R5" s="1" t="s">
        <v>34</v>
      </c>
      <c r="S5" s="1" t="s">
        <v>39</v>
      </c>
      <c r="T5" s="1" t="s">
        <v>38</v>
      </c>
      <c r="U5" s="1" t="s">
        <v>43</v>
      </c>
      <c r="V5" s="1" t="s">
        <v>46</v>
      </c>
      <c r="W5" s="1" t="s">
        <v>47</v>
      </c>
      <c r="X5" s="1" t="s">
        <v>48</v>
      </c>
    </row>
    <row r="6" spans="2:24" x14ac:dyDescent="0.2">
      <c r="B6" s="5" t="s">
        <v>5</v>
      </c>
      <c r="C6" s="1">
        <v>0</v>
      </c>
      <c r="D6" s="8">
        <v>0.19144700000000001</v>
      </c>
      <c r="E6" s="8">
        <v>3.8192999999999998E-2</v>
      </c>
      <c r="F6" s="8">
        <v>0.60741800000000001</v>
      </c>
      <c r="G6" s="8">
        <v>0.41458400000000001</v>
      </c>
      <c r="H6" s="8">
        <v>64.443439999999995</v>
      </c>
      <c r="K6">
        <f>MAX(H6:H25)</f>
        <v>1088.859618</v>
      </c>
      <c r="L6">
        <f>MAX(H6:H26)</f>
        <v>1088.859618</v>
      </c>
      <c r="M6">
        <f>MAX(H6:H27)</f>
        <v>1239.1890052480701</v>
      </c>
      <c r="N6">
        <f>MAX(H6:H28)</f>
        <v>3676.0621156471502</v>
      </c>
      <c r="O6">
        <f>MAX(H6:H29)</f>
        <v>6279.0759865434102</v>
      </c>
      <c r="P6">
        <f>MAX(H6:H30)</f>
        <v>6279.0759865434102</v>
      </c>
      <c r="Q6">
        <f>MAX(H6:H31)</f>
        <v>6279.0759865434102</v>
      </c>
      <c r="R6">
        <f>MAX(H6:H32)</f>
        <v>6822.9402460573201</v>
      </c>
      <c r="S6">
        <f>MAX(H6:H33)</f>
        <v>6822.9402460573201</v>
      </c>
      <c r="T6">
        <f>MAX(H6:H34)</f>
        <v>7013.1347404058397</v>
      </c>
      <c r="U6">
        <f>MAX(H6:H35)</f>
        <v>7013.1347404058397</v>
      </c>
      <c r="V6">
        <f>MAX(H6:H36)</f>
        <v>7013.1347404058397</v>
      </c>
      <c r="W6">
        <f>MAX(H6:H37)</f>
        <v>7032.5472521219799</v>
      </c>
      <c r="X6">
        <f>MAX(H6:H38)</f>
        <v>7055.7227924156596</v>
      </c>
    </row>
    <row r="7" spans="2:24" x14ac:dyDescent="0.2">
      <c r="C7" s="1">
        <v>1</v>
      </c>
      <c r="D7" s="8">
        <v>0.75865300000000002</v>
      </c>
      <c r="E7" s="8">
        <v>0.53651800000000005</v>
      </c>
      <c r="F7" s="8">
        <v>0.65600000000000003</v>
      </c>
      <c r="G7" s="8">
        <v>0.360342</v>
      </c>
      <c r="H7" s="8">
        <v>18.301380000000002</v>
      </c>
      <c r="J7" s="14" t="s">
        <v>44</v>
      </c>
      <c r="L7" s="6">
        <f>(L6-K6)/K6</f>
        <v>0</v>
      </c>
      <c r="M7" s="6">
        <f t="shared" ref="M7:U7" si="0">(M6-L6)/L6</f>
        <v>0.13806131181923412</v>
      </c>
      <c r="N7" s="6">
        <f t="shared" si="0"/>
        <v>1.9665064006206616</v>
      </c>
      <c r="O7" s="6">
        <f t="shared" si="0"/>
        <v>0.70809844583869708</v>
      </c>
      <c r="P7" s="6">
        <f t="shared" si="0"/>
        <v>0</v>
      </c>
      <c r="Q7" s="6">
        <f t="shared" si="0"/>
        <v>0</v>
      </c>
      <c r="R7" s="6">
        <f t="shared" si="0"/>
        <v>8.6615333319656734E-2</v>
      </c>
      <c r="S7" s="6">
        <f t="shared" si="0"/>
        <v>0</v>
      </c>
      <c r="T7" s="6">
        <f t="shared" si="0"/>
        <v>2.7875737950134431E-2</v>
      </c>
      <c r="U7" s="6">
        <f t="shared" si="0"/>
        <v>0</v>
      </c>
      <c r="V7" s="6">
        <f t="shared" ref="V7" si="1">(V6-U6)/U6</f>
        <v>0</v>
      </c>
      <c r="W7" s="6">
        <f t="shared" ref="W7" si="2">(W6-V6)/V6</f>
        <v>2.7680220664086145E-3</v>
      </c>
      <c r="X7" s="6">
        <f t="shared" ref="X7" si="3">(X6-W6)/W6</f>
        <v>3.2954688340965988E-3</v>
      </c>
    </row>
    <row r="8" spans="2:24" x14ac:dyDescent="0.2">
      <c r="C8" s="1">
        <v>2</v>
      </c>
      <c r="D8" s="8">
        <v>0.43835000000000002</v>
      </c>
      <c r="E8" s="8">
        <v>0.80434000000000005</v>
      </c>
      <c r="F8" s="8">
        <v>0.21024499999999999</v>
      </c>
      <c r="G8" s="8">
        <v>0.15129500000000001</v>
      </c>
      <c r="H8" s="8">
        <v>0.11294</v>
      </c>
    </row>
    <row r="9" spans="2:24" x14ac:dyDescent="0.2">
      <c r="C9" s="1">
        <v>3</v>
      </c>
      <c r="D9" s="8">
        <v>0.70605099999999998</v>
      </c>
      <c r="E9" s="8">
        <v>0.534192</v>
      </c>
      <c r="F9" s="8">
        <v>0.26424300000000001</v>
      </c>
      <c r="G9" s="8">
        <v>0.48208800000000002</v>
      </c>
      <c r="H9" s="8">
        <v>4.2108980000000003</v>
      </c>
    </row>
    <row r="10" spans="2:24" x14ac:dyDescent="0.2">
      <c r="C10" s="1">
        <v>4</v>
      </c>
      <c r="D10" s="8">
        <v>0.83647800000000005</v>
      </c>
      <c r="E10" s="8">
        <v>0.19361</v>
      </c>
      <c r="F10" s="8">
        <v>0.66389299999999996</v>
      </c>
      <c r="G10" s="8">
        <v>0.78564900000000004</v>
      </c>
      <c r="H10" s="8">
        <v>258.37052499999999</v>
      </c>
    </row>
    <row r="11" spans="2:24" x14ac:dyDescent="0.2">
      <c r="C11" s="1">
        <v>5</v>
      </c>
      <c r="D11" s="8">
        <v>0.68343200000000004</v>
      </c>
      <c r="E11" s="8">
        <v>0.118663</v>
      </c>
      <c r="F11" s="8">
        <v>0.82904599999999995</v>
      </c>
      <c r="G11" s="8">
        <v>0.567577</v>
      </c>
      <c r="H11" s="8">
        <v>78.434388999999996</v>
      </c>
    </row>
    <row r="12" spans="2:24" x14ac:dyDescent="0.2">
      <c r="C12" s="1">
        <v>6</v>
      </c>
      <c r="D12" s="8">
        <v>0.55362100000000003</v>
      </c>
      <c r="E12" s="8">
        <v>0.66735</v>
      </c>
      <c r="F12" s="8">
        <v>0.32380599999999998</v>
      </c>
      <c r="G12" s="8">
        <v>0.81486999999999998</v>
      </c>
      <c r="H12" s="8">
        <v>57.571536999999999</v>
      </c>
    </row>
    <row r="13" spans="2:24" x14ac:dyDescent="0.2">
      <c r="C13" s="1">
        <v>7</v>
      </c>
      <c r="D13" s="8">
        <v>0.352356</v>
      </c>
      <c r="E13" s="8">
        <v>0.32224199999999997</v>
      </c>
      <c r="F13" s="8">
        <v>0.116979</v>
      </c>
      <c r="G13" s="8">
        <v>0.47311300000000001</v>
      </c>
      <c r="H13" s="8">
        <v>109.571876</v>
      </c>
    </row>
    <row r="14" spans="2:24" x14ac:dyDescent="0.2">
      <c r="C14" s="1">
        <v>8</v>
      </c>
      <c r="D14" s="8">
        <v>0.15378600000000001</v>
      </c>
      <c r="E14" s="8">
        <v>0.72938199999999997</v>
      </c>
      <c r="F14" s="8">
        <v>0.42259799999999997</v>
      </c>
      <c r="G14" s="8">
        <v>0.44307400000000002</v>
      </c>
      <c r="H14" s="8">
        <v>8.8479919999999996</v>
      </c>
    </row>
    <row r="15" spans="2:24" x14ac:dyDescent="0.2">
      <c r="C15" s="1">
        <v>9</v>
      </c>
      <c r="D15" s="8">
        <v>0.46344200000000002</v>
      </c>
      <c r="E15" s="8">
        <v>0.63002499999999995</v>
      </c>
      <c r="F15" s="8">
        <v>0.107906</v>
      </c>
      <c r="G15" s="8">
        <v>0.95764400000000005</v>
      </c>
      <c r="H15" s="8">
        <v>233.22361000000001</v>
      </c>
    </row>
    <row r="16" spans="2:24" x14ac:dyDescent="0.2">
      <c r="C16" s="1">
        <v>10</v>
      </c>
      <c r="D16" s="8">
        <v>0.67749099999999995</v>
      </c>
      <c r="E16" s="8">
        <v>0.35851</v>
      </c>
      <c r="F16" s="8">
        <v>0.47959200000000002</v>
      </c>
      <c r="G16" s="8">
        <v>7.288E-2</v>
      </c>
      <c r="H16" s="8">
        <v>24.423088</v>
      </c>
    </row>
    <row r="17" spans="3:8" x14ac:dyDescent="0.2">
      <c r="C17" s="1">
        <v>11</v>
      </c>
      <c r="D17" s="8">
        <v>0.58397299999999996</v>
      </c>
      <c r="E17" s="8">
        <v>0.14724300000000001</v>
      </c>
      <c r="F17" s="8">
        <v>0.34809699999999999</v>
      </c>
      <c r="G17" s="8">
        <v>0.42861500000000002</v>
      </c>
      <c r="H17" s="8">
        <v>64.420147</v>
      </c>
    </row>
    <row r="18" spans="3:8" x14ac:dyDescent="0.2">
      <c r="C18" s="1">
        <v>12</v>
      </c>
      <c r="D18" s="8">
        <v>0.30688900000000002</v>
      </c>
      <c r="E18" s="8">
        <v>0.31687799999999999</v>
      </c>
      <c r="F18" s="8">
        <v>0.62263400000000002</v>
      </c>
      <c r="G18" s="8">
        <v>9.5398999999999998E-2</v>
      </c>
      <c r="H18" s="8">
        <v>63.476716000000003</v>
      </c>
    </row>
    <row r="19" spans="3:8" x14ac:dyDescent="0.2">
      <c r="C19" s="1">
        <v>13</v>
      </c>
      <c r="D19" s="8">
        <v>0.51114199999999999</v>
      </c>
      <c r="E19" s="8">
        <v>0.81795700000000005</v>
      </c>
      <c r="F19" s="8">
        <v>0.72870999999999997</v>
      </c>
      <c r="G19" s="8">
        <v>0.112354</v>
      </c>
      <c r="H19" s="8">
        <v>79.729129999999998</v>
      </c>
    </row>
    <row r="20" spans="3:8" x14ac:dyDescent="0.2">
      <c r="C20" s="1">
        <v>14</v>
      </c>
      <c r="D20" s="8">
        <v>0.43893300000000002</v>
      </c>
      <c r="E20" s="8">
        <v>0.774092</v>
      </c>
      <c r="F20" s="8">
        <v>0.37816699999999998</v>
      </c>
      <c r="G20" s="8">
        <v>0.93369599999999997</v>
      </c>
      <c r="H20" s="8">
        <v>355.80681800000002</v>
      </c>
    </row>
    <row r="21" spans="3:8" x14ac:dyDescent="0.2">
      <c r="C21" s="1">
        <v>15</v>
      </c>
      <c r="D21" s="8">
        <v>0.224189</v>
      </c>
      <c r="E21" s="8">
        <v>0.84648000000000001</v>
      </c>
      <c r="F21" s="8">
        <v>0.87948400000000004</v>
      </c>
      <c r="G21" s="8">
        <v>0.87851599999999996</v>
      </c>
      <c r="H21" s="8">
        <v>1088.859618</v>
      </c>
    </row>
    <row r="22" spans="3:8" x14ac:dyDescent="0.2">
      <c r="C22" s="1">
        <v>16</v>
      </c>
      <c r="D22" s="8">
        <v>0.72526199999999996</v>
      </c>
      <c r="E22" s="8">
        <v>0.47987000000000002</v>
      </c>
      <c r="F22" s="8">
        <v>8.8946999999999998E-2</v>
      </c>
      <c r="G22" s="8">
        <v>0.75975999999999999</v>
      </c>
      <c r="H22" s="8">
        <v>28.866752000000002</v>
      </c>
    </row>
    <row r="23" spans="3:8" x14ac:dyDescent="0.2">
      <c r="C23" s="1">
        <v>17</v>
      </c>
      <c r="D23" s="8">
        <v>0.35548200000000002</v>
      </c>
      <c r="E23" s="8">
        <v>0.63961900000000005</v>
      </c>
      <c r="F23" s="8">
        <v>0.41761799999999999</v>
      </c>
      <c r="G23" s="8">
        <v>0.122604</v>
      </c>
      <c r="H23" s="8">
        <v>45.181570000000001</v>
      </c>
    </row>
    <row r="24" spans="3:8" x14ac:dyDescent="0.2">
      <c r="C24" s="1">
        <v>18</v>
      </c>
      <c r="D24" s="8">
        <v>0.119879</v>
      </c>
      <c r="E24" s="8">
        <v>0.86253999999999997</v>
      </c>
      <c r="F24" s="8">
        <v>0.64333099999999999</v>
      </c>
      <c r="G24" s="8">
        <v>0.849804</v>
      </c>
      <c r="H24" s="8">
        <v>431.61275699999999</v>
      </c>
    </row>
    <row r="25" spans="3:8" x14ac:dyDescent="0.2">
      <c r="C25" s="1">
        <v>19</v>
      </c>
      <c r="D25" s="8">
        <v>0.126885</v>
      </c>
      <c r="E25" s="8">
        <v>0.15343000000000001</v>
      </c>
      <c r="F25" s="8">
        <v>0.77016200000000001</v>
      </c>
      <c r="G25" s="8">
        <v>0.19051799999999999</v>
      </c>
      <c r="H25" s="8">
        <v>9.9723319999999998</v>
      </c>
    </row>
    <row r="26" spans="3:8" x14ac:dyDescent="0.2">
      <c r="C26" s="1">
        <v>20</v>
      </c>
      <c r="D26" s="7">
        <v>0.20408200000000001</v>
      </c>
      <c r="E26" s="7">
        <v>0.85714299999999999</v>
      </c>
      <c r="F26" s="7" t="s">
        <v>9</v>
      </c>
      <c r="G26" s="7">
        <v>0.85714299999999999</v>
      </c>
      <c r="H26" s="7">
        <v>862.62575622053805</v>
      </c>
    </row>
    <row r="27" spans="3:8" x14ac:dyDescent="0.2">
      <c r="C27" s="1">
        <v>21</v>
      </c>
      <c r="D27" s="7">
        <v>0.244898</v>
      </c>
      <c r="E27" s="7">
        <v>0.83673500000000001</v>
      </c>
      <c r="F27" s="7">
        <v>0.89795899999999995</v>
      </c>
      <c r="G27" s="7">
        <v>0.89795899999999995</v>
      </c>
      <c r="H27" s="7">
        <v>1239.1890052480701</v>
      </c>
    </row>
    <row r="28" spans="3:8" x14ac:dyDescent="0.2">
      <c r="C28" s="1">
        <v>22</v>
      </c>
      <c r="D28" s="7">
        <v>0.62591699999999995</v>
      </c>
      <c r="E28" s="7">
        <v>0.90559599999999996</v>
      </c>
      <c r="F28" s="7" t="s">
        <v>23</v>
      </c>
      <c r="G28" s="7">
        <v>0.98688399999999998</v>
      </c>
      <c r="H28" s="7">
        <v>3676.0621156471502</v>
      </c>
    </row>
    <row r="29" spans="3:8" x14ac:dyDescent="0.2">
      <c r="C29" s="1">
        <v>23</v>
      </c>
      <c r="D29" s="7">
        <v>0.99105799999999999</v>
      </c>
      <c r="E29" s="7" t="s">
        <v>26</v>
      </c>
      <c r="F29" s="7">
        <v>0.99617</v>
      </c>
      <c r="G29" s="7">
        <v>0.928593</v>
      </c>
      <c r="H29" s="7">
        <v>6279.0759865434102</v>
      </c>
    </row>
    <row r="30" spans="3:8" x14ac:dyDescent="0.2">
      <c r="C30" s="1">
        <v>24</v>
      </c>
      <c r="D30" s="7">
        <v>0.99679300000000004</v>
      </c>
      <c r="E30" s="7">
        <v>0.97675199999999995</v>
      </c>
      <c r="F30" s="7">
        <v>0.78960699999999995</v>
      </c>
      <c r="G30" s="7">
        <v>0.93508800000000003</v>
      </c>
      <c r="H30" s="7">
        <v>4663.2647896196204</v>
      </c>
    </row>
    <row r="31" spans="3:8" x14ac:dyDescent="0.2">
      <c r="C31" s="1">
        <v>25</v>
      </c>
      <c r="D31" s="7">
        <v>0.99252799999999997</v>
      </c>
      <c r="E31" s="7">
        <v>0.83296599999999998</v>
      </c>
      <c r="F31" s="7">
        <v>0.99433000000000005</v>
      </c>
      <c r="G31" s="7">
        <v>0.99866500000000002</v>
      </c>
      <c r="H31" s="7">
        <v>6089.2959776904499</v>
      </c>
    </row>
    <row r="32" spans="3:8" x14ac:dyDescent="0.2">
      <c r="C32" s="1">
        <v>26</v>
      </c>
      <c r="D32" s="7">
        <v>0.97011499999999995</v>
      </c>
      <c r="E32" s="7">
        <v>0.990124</v>
      </c>
      <c r="F32" s="7">
        <v>0.94496899999999995</v>
      </c>
      <c r="G32" s="7">
        <v>0.98821800000000004</v>
      </c>
      <c r="H32" s="9">
        <v>6822.9402460573201</v>
      </c>
    </row>
    <row r="33" spans="3:8" x14ac:dyDescent="0.2">
      <c r="C33" s="1">
        <v>27</v>
      </c>
      <c r="D33" s="7">
        <v>0.97011499999999995</v>
      </c>
      <c r="E33" s="7">
        <v>0.990124</v>
      </c>
      <c r="F33" s="7">
        <v>0.94496899999999995</v>
      </c>
      <c r="G33" s="7">
        <v>0.98821800000000004</v>
      </c>
      <c r="H33" s="9">
        <v>6822.9402460573201</v>
      </c>
    </row>
    <row r="34" spans="3:8" x14ac:dyDescent="0.2">
      <c r="C34" s="1">
        <v>28</v>
      </c>
      <c r="D34" s="7">
        <v>0.99291700000000005</v>
      </c>
      <c r="E34" s="7">
        <v>0.95190600000000003</v>
      </c>
      <c r="F34" s="7">
        <v>0.97617100000000001</v>
      </c>
      <c r="G34" s="7">
        <v>0.98482800000000004</v>
      </c>
      <c r="H34" s="7">
        <v>7013.1347404058397</v>
      </c>
    </row>
    <row r="35" spans="3:8" x14ac:dyDescent="0.2">
      <c r="C35" s="1">
        <v>29</v>
      </c>
      <c r="D35" s="7">
        <v>0.95421299999999998</v>
      </c>
      <c r="E35" s="7">
        <v>0.95218800000000003</v>
      </c>
      <c r="F35" s="7">
        <v>0.93288700000000002</v>
      </c>
      <c r="G35" s="7">
        <v>0.95204100000000003</v>
      </c>
      <c r="H35" s="7">
        <v>5331.5979871007603</v>
      </c>
    </row>
    <row r="36" spans="3:8" x14ac:dyDescent="0.2">
      <c r="C36" s="1">
        <v>30</v>
      </c>
      <c r="D36" s="7">
        <v>0.99179099999999998</v>
      </c>
      <c r="E36" s="7">
        <v>0.95488099999999998</v>
      </c>
      <c r="F36" s="7">
        <v>0.96989000000000003</v>
      </c>
      <c r="G36" s="7">
        <v>0.98741299999999999</v>
      </c>
      <c r="H36" s="7">
        <v>6981.2752949692403</v>
      </c>
    </row>
    <row r="37" spans="3:8" x14ac:dyDescent="0.2">
      <c r="C37" s="1">
        <v>31</v>
      </c>
      <c r="D37" s="7">
        <v>0.99611000000000005</v>
      </c>
      <c r="E37" s="7">
        <v>0.94753299999999996</v>
      </c>
      <c r="F37" s="7">
        <v>0.976275</v>
      </c>
      <c r="G37" s="7">
        <v>0.98652899999999999</v>
      </c>
      <c r="H37" s="7">
        <v>7032.5472521219799</v>
      </c>
    </row>
    <row r="38" spans="3:8" x14ac:dyDescent="0.2">
      <c r="C38" s="1">
        <v>32</v>
      </c>
      <c r="D38" s="7">
        <v>0.99962300000000004</v>
      </c>
      <c r="E38" s="7">
        <v>0.94272199999999995</v>
      </c>
      <c r="F38" s="7">
        <v>0.97638899999999995</v>
      </c>
      <c r="G38" s="7">
        <v>0.98839999999999995</v>
      </c>
      <c r="H38" s="7">
        <v>7055.7227924156596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7EDA-216F-5E49-849E-526115442DB8}">
  <dimension ref="B5:Y38"/>
  <sheetViews>
    <sheetView topLeftCell="M1" zoomScale="63" workbookViewId="0">
      <selection activeCell="H42" sqref="H42"/>
    </sheetView>
  </sheetViews>
  <sheetFormatPr baseColWidth="10" defaultRowHeight="16" x14ac:dyDescent="0.2"/>
  <cols>
    <col min="11" max="11" width="24.6640625" customWidth="1"/>
    <col min="12" max="12" width="17.83203125" customWidth="1"/>
    <col min="13" max="13" width="20" customWidth="1"/>
    <col min="14" max="14" width="18" customWidth="1"/>
    <col min="15" max="15" width="25.83203125" customWidth="1"/>
    <col min="16" max="16" width="21" customWidth="1"/>
    <col min="17" max="17" width="17.6640625" customWidth="1"/>
    <col min="18" max="18" width="21.33203125" customWidth="1"/>
    <col min="19" max="19" width="26.6640625" customWidth="1"/>
    <col min="20" max="20" width="20.33203125" customWidth="1"/>
    <col min="21" max="21" width="16" customWidth="1"/>
    <col min="22" max="22" width="14.5" customWidth="1"/>
    <col min="23" max="23" width="17.6640625" customWidth="1"/>
    <col min="24" max="24" width="18" customWidth="1"/>
    <col min="25" max="25" width="20.33203125" customWidth="1"/>
  </cols>
  <sheetData>
    <row r="5" spans="2:25" x14ac:dyDescent="0.2">
      <c r="D5" s="1" t="s">
        <v>0</v>
      </c>
      <c r="E5" s="1" t="s">
        <v>1</v>
      </c>
      <c r="F5" s="1" t="s">
        <v>6</v>
      </c>
      <c r="G5" s="1" t="s">
        <v>8</v>
      </c>
      <c r="H5" s="1" t="s">
        <v>10</v>
      </c>
      <c r="I5" s="1" t="s">
        <v>2</v>
      </c>
      <c r="L5" s="1" t="s">
        <v>3</v>
      </c>
      <c r="M5" s="1" t="s">
        <v>4</v>
      </c>
      <c r="N5" s="1" t="s">
        <v>18</v>
      </c>
      <c r="O5" s="1" t="s">
        <v>24</v>
      </c>
      <c r="P5" s="1" t="s">
        <v>25</v>
      </c>
      <c r="Q5" s="1" t="s">
        <v>28</v>
      </c>
      <c r="R5" s="1" t="s">
        <v>32</v>
      </c>
      <c r="S5" s="1" t="s">
        <v>34</v>
      </c>
      <c r="T5" s="1" t="s">
        <v>40</v>
      </c>
      <c r="U5" s="1" t="s">
        <v>38</v>
      </c>
      <c r="V5" s="1" t="s">
        <v>43</v>
      </c>
      <c r="W5" s="1" t="s">
        <v>46</v>
      </c>
      <c r="X5" s="1" t="s">
        <v>47</v>
      </c>
      <c r="Y5" s="1" t="s">
        <v>48</v>
      </c>
    </row>
    <row r="6" spans="2:25" x14ac:dyDescent="0.2">
      <c r="B6" s="5" t="s">
        <v>5</v>
      </c>
      <c r="C6" s="1">
        <v>0</v>
      </c>
      <c r="D6" s="8">
        <v>0.728186</v>
      </c>
      <c r="E6" s="8">
        <v>0.154693</v>
      </c>
      <c r="F6" s="8">
        <v>0.73255199999999998</v>
      </c>
      <c r="G6" s="8">
        <v>0.69399699999999998</v>
      </c>
      <c r="H6" s="8">
        <v>5.6401E-2</v>
      </c>
      <c r="I6" s="8">
        <v>-0.71426500000000004</v>
      </c>
      <c r="L6">
        <f>MAX(I6:I25)</f>
        <v>-0.71426500000000004</v>
      </c>
      <c r="M6">
        <f>MAX(I6:I26)</f>
        <v>-0.71426500000000004</v>
      </c>
      <c r="N6">
        <f>MAX(I6:I27)</f>
        <v>-0.71426500000000004</v>
      </c>
      <c r="O6">
        <f>MAX(I6:I28)</f>
        <v>-0.71426500000000004</v>
      </c>
      <c r="P6">
        <f>MAX(I6:I29)</f>
        <v>-0.71426500000000004</v>
      </c>
      <c r="Q6">
        <f>MAX(I6:I30)</f>
        <v>-0.56660638334951197</v>
      </c>
      <c r="R6">
        <f>MAX(I6:I31)</f>
        <v>-0.32623545246284202</v>
      </c>
      <c r="S6">
        <f>MAX(I6:I32)</f>
        <v>-0.32623545246284202</v>
      </c>
      <c r="T6">
        <f>MAX(I6:I33)</f>
        <v>-0.32623545246284202</v>
      </c>
      <c r="U6">
        <f>MAX(I6:I34)</f>
        <v>-0.21480145690226299</v>
      </c>
      <c r="V6">
        <f>MAX(I6:I35)</f>
        <v>-0.21480145690226299</v>
      </c>
      <c r="W6">
        <f>MAX(I6:I36)</f>
        <v>-5.0084273514361802E-2</v>
      </c>
      <c r="X6">
        <f>MAX(I6:I37)</f>
        <v>-5.0084273514361802E-2</v>
      </c>
      <c r="Y6">
        <f>MAX(I6:I38)</f>
        <v>-5.0084273514361802E-2</v>
      </c>
    </row>
    <row r="7" spans="2:25" x14ac:dyDescent="0.2">
      <c r="C7" s="1">
        <v>1</v>
      </c>
      <c r="D7" s="8">
        <v>0.24238399999999999</v>
      </c>
      <c r="E7" s="8">
        <v>0.84409999999999996</v>
      </c>
      <c r="F7" s="8">
        <v>0.57780900000000002</v>
      </c>
      <c r="G7" s="8">
        <v>0.67902099999999999</v>
      </c>
      <c r="H7" s="8">
        <v>0.50195299999999998</v>
      </c>
      <c r="I7" s="8">
        <v>-1.2099549999999999</v>
      </c>
      <c r="K7" t="s">
        <v>45</v>
      </c>
      <c r="M7" s="6">
        <f>ABS((M6-L6)/L6)</f>
        <v>0</v>
      </c>
      <c r="N7" s="6">
        <f t="shared" ref="N7:V7" si="0">ABS((N6-M6)/M6)</f>
        <v>0</v>
      </c>
      <c r="O7" s="6">
        <f t="shared" si="0"/>
        <v>0</v>
      </c>
      <c r="P7" s="6">
        <f t="shared" si="0"/>
        <v>0</v>
      </c>
      <c r="Q7" s="6">
        <f t="shared" si="0"/>
        <v>0.20672805842437761</v>
      </c>
      <c r="R7" s="6">
        <f t="shared" si="0"/>
        <v>0.42422912616287412</v>
      </c>
      <c r="S7" s="6">
        <f t="shared" si="0"/>
        <v>0</v>
      </c>
      <c r="T7" s="6">
        <f t="shared" si="0"/>
        <v>0</v>
      </c>
      <c r="U7" s="6">
        <f t="shared" si="0"/>
        <v>0.34157537054704773</v>
      </c>
      <c r="V7" s="6">
        <f t="shared" si="0"/>
        <v>0</v>
      </c>
      <c r="W7" s="6">
        <f t="shared" ref="W7" si="1">ABS((W6-V6)/V6)</f>
        <v>0.76683457255529375</v>
      </c>
      <c r="X7" s="6">
        <f t="shared" ref="X7" si="2">ABS((X6-W6)/W6)</f>
        <v>0</v>
      </c>
      <c r="Y7" s="6">
        <f t="shared" ref="Y7" si="3">ABS((Y6-X6)/X6)</f>
        <v>0</v>
      </c>
    </row>
    <row r="8" spans="2:25" x14ac:dyDescent="0.2">
      <c r="C8" s="1">
        <v>2</v>
      </c>
      <c r="D8" s="8">
        <v>0.72952300000000003</v>
      </c>
      <c r="E8" s="8">
        <v>0.74810600000000005</v>
      </c>
      <c r="F8" s="8">
        <v>0.67977500000000002</v>
      </c>
      <c r="G8" s="8">
        <v>0.35655199999999998</v>
      </c>
      <c r="H8" s="8">
        <v>0.67105400000000004</v>
      </c>
      <c r="I8" s="8">
        <v>-1.6721999999999999</v>
      </c>
    </row>
    <row r="9" spans="2:25" x14ac:dyDescent="0.2">
      <c r="C9" s="1">
        <v>3</v>
      </c>
      <c r="D9" s="8">
        <v>0.77061999999999997</v>
      </c>
      <c r="E9" s="8">
        <v>0.11440400000000001</v>
      </c>
      <c r="F9" s="8">
        <v>4.6780000000000002E-2</v>
      </c>
      <c r="G9" s="8">
        <v>0.64832400000000001</v>
      </c>
      <c r="H9" s="8">
        <v>0.27354899999999999</v>
      </c>
      <c r="I9" s="8">
        <v>-1.5360579999999999</v>
      </c>
    </row>
    <row r="10" spans="2:25" x14ac:dyDescent="0.2">
      <c r="C10" s="1">
        <v>4</v>
      </c>
      <c r="D10" s="8">
        <v>0.61881200000000003</v>
      </c>
      <c r="E10" s="8">
        <v>0.33180199999999999</v>
      </c>
      <c r="F10" s="8">
        <v>0.18728800000000001</v>
      </c>
      <c r="G10" s="8">
        <v>0.75623799999999997</v>
      </c>
      <c r="H10" s="8">
        <v>0.32883499999999999</v>
      </c>
      <c r="I10" s="8">
        <v>-0.829237</v>
      </c>
    </row>
    <row r="11" spans="2:25" x14ac:dyDescent="0.2">
      <c r="C11" s="1">
        <v>5</v>
      </c>
      <c r="D11" s="8">
        <v>0.78495800000000004</v>
      </c>
      <c r="E11" s="8">
        <v>0.91068199999999999</v>
      </c>
      <c r="F11" s="8">
        <v>0.70811999999999997</v>
      </c>
      <c r="G11" s="8">
        <v>0.95922499999999999</v>
      </c>
      <c r="H11" s="8">
        <v>4.9109999999999996E-3</v>
      </c>
      <c r="I11" s="8">
        <v>-1.2470490000000001</v>
      </c>
    </row>
    <row r="12" spans="2:25" x14ac:dyDescent="0.2">
      <c r="C12" s="1">
        <v>6</v>
      </c>
      <c r="D12" s="8">
        <v>0.14511099999999999</v>
      </c>
      <c r="E12" s="8">
        <v>0.89668499999999995</v>
      </c>
      <c r="F12" s="8">
        <v>0.89632199999999995</v>
      </c>
      <c r="G12" s="8">
        <v>0.72627200000000003</v>
      </c>
      <c r="H12" s="8">
        <v>0.23627200000000001</v>
      </c>
      <c r="I12" s="8">
        <v>-1.233786</v>
      </c>
    </row>
    <row r="13" spans="2:25" x14ac:dyDescent="0.2">
      <c r="C13" s="1">
        <v>7</v>
      </c>
      <c r="D13" s="8">
        <v>0.94506900000000005</v>
      </c>
      <c r="E13" s="8">
        <v>0.28845900000000002</v>
      </c>
      <c r="F13" s="8">
        <v>0.97880599999999995</v>
      </c>
      <c r="G13" s="8">
        <v>0.96165599999999996</v>
      </c>
      <c r="H13" s="8">
        <v>0.59801599999999999</v>
      </c>
      <c r="I13" s="8">
        <v>-1.6943429999999999</v>
      </c>
    </row>
    <row r="14" spans="2:25" x14ac:dyDescent="0.2">
      <c r="C14" s="1">
        <v>8</v>
      </c>
      <c r="D14" s="8">
        <v>0.12572</v>
      </c>
      <c r="E14" s="8">
        <v>0.86272499999999996</v>
      </c>
      <c r="F14" s="8">
        <v>2.8544E-2</v>
      </c>
      <c r="G14" s="8">
        <v>0.24660499999999999</v>
      </c>
      <c r="H14" s="8">
        <v>0.75120600000000004</v>
      </c>
      <c r="I14" s="8">
        <v>-2.57117</v>
      </c>
    </row>
    <row r="15" spans="2:25" x14ac:dyDescent="0.2">
      <c r="C15" s="1">
        <v>9</v>
      </c>
      <c r="D15" s="8">
        <v>0.75759399999999999</v>
      </c>
      <c r="E15" s="8">
        <v>0.35583100000000001</v>
      </c>
      <c r="F15" s="8">
        <v>1.6522999999999999E-2</v>
      </c>
      <c r="G15" s="8">
        <v>0.43420700000000001</v>
      </c>
      <c r="H15" s="8">
        <v>0.11243300000000001</v>
      </c>
      <c r="I15" s="8">
        <v>-1.3091159999999999</v>
      </c>
    </row>
    <row r="16" spans="2:25" x14ac:dyDescent="0.2">
      <c r="C16" s="1">
        <v>10</v>
      </c>
      <c r="D16" s="8">
        <v>0.53679699999999997</v>
      </c>
      <c r="E16" s="8">
        <v>0.30878100000000003</v>
      </c>
      <c r="F16" s="8">
        <v>0.411879</v>
      </c>
      <c r="G16" s="8">
        <v>0.38822499999999999</v>
      </c>
      <c r="H16" s="8">
        <v>0.52252799999999999</v>
      </c>
      <c r="I16" s="8">
        <v>-1.1447849999999999</v>
      </c>
    </row>
    <row r="17" spans="3:9" x14ac:dyDescent="0.2">
      <c r="C17" s="1">
        <v>11</v>
      </c>
      <c r="D17" s="8">
        <v>0.95774000000000004</v>
      </c>
      <c r="E17" s="8">
        <v>0.23566899999999999</v>
      </c>
      <c r="F17" s="8">
        <v>9.9145999999999998E-2</v>
      </c>
      <c r="G17" s="8">
        <v>0.156806</v>
      </c>
      <c r="H17" s="8">
        <v>7.1317000000000005E-2</v>
      </c>
      <c r="I17" s="8">
        <v>-1.912677</v>
      </c>
    </row>
    <row r="18" spans="3:9" x14ac:dyDescent="0.2">
      <c r="C18" s="1">
        <v>12</v>
      </c>
      <c r="D18" s="8">
        <v>0.62930799999999998</v>
      </c>
      <c r="E18" s="8">
        <v>0.80348399999999998</v>
      </c>
      <c r="F18" s="8">
        <v>0.81140800000000002</v>
      </c>
      <c r="G18" s="8">
        <v>4.5613000000000001E-2</v>
      </c>
      <c r="H18" s="8">
        <v>0.110624</v>
      </c>
      <c r="I18" s="8">
        <v>-1.6228389999999999</v>
      </c>
    </row>
    <row r="19" spans="3:9" x14ac:dyDescent="0.2">
      <c r="C19" s="1">
        <v>13</v>
      </c>
      <c r="D19" s="8">
        <v>2.1735000000000001E-2</v>
      </c>
      <c r="E19" s="8">
        <v>0.42808400000000002</v>
      </c>
      <c r="F19" s="8">
        <v>0.83593899999999999</v>
      </c>
      <c r="G19" s="8">
        <v>0.48948900000000001</v>
      </c>
      <c r="H19" s="8">
        <v>0.51108200000000004</v>
      </c>
      <c r="I19" s="8">
        <v>-1.3566819999999999</v>
      </c>
    </row>
    <row r="20" spans="3:9" x14ac:dyDescent="0.2">
      <c r="C20" s="1">
        <v>14</v>
      </c>
      <c r="D20" s="8">
        <v>0.43934400000000001</v>
      </c>
      <c r="E20" s="8">
        <v>0.69892399999999999</v>
      </c>
      <c r="F20" s="8">
        <v>0.42681999999999998</v>
      </c>
      <c r="G20" s="8">
        <v>0.109476</v>
      </c>
      <c r="H20" s="8">
        <v>0.877888</v>
      </c>
      <c r="I20" s="8">
        <v>-2.0184250000000001</v>
      </c>
    </row>
    <row r="21" spans="3:9" x14ac:dyDescent="0.2">
      <c r="C21" s="1">
        <v>15</v>
      </c>
      <c r="D21" s="8">
        <v>0.25890600000000003</v>
      </c>
      <c r="E21" s="8">
        <v>0.79367799999999999</v>
      </c>
      <c r="F21" s="8">
        <v>0.64211399999999996</v>
      </c>
      <c r="G21" s="8">
        <v>0.19667299999999999</v>
      </c>
      <c r="H21" s="8">
        <v>0.59310300000000005</v>
      </c>
      <c r="I21" s="8">
        <v>-1.702558</v>
      </c>
    </row>
    <row r="22" spans="3:9" x14ac:dyDescent="0.2">
      <c r="C22" s="1">
        <v>16</v>
      </c>
      <c r="D22" s="8">
        <v>0.43216599999999999</v>
      </c>
      <c r="E22" s="8">
        <v>0.71561799999999998</v>
      </c>
      <c r="F22" s="8">
        <v>0.34181899999999998</v>
      </c>
      <c r="G22" s="8">
        <v>0.70499999999999996</v>
      </c>
      <c r="H22" s="8">
        <v>0.61496200000000001</v>
      </c>
      <c r="I22" s="8">
        <v>-1.2942469999999999</v>
      </c>
    </row>
    <row r="23" spans="3:9" x14ac:dyDescent="0.2">
      <c r="C23" s="1">
        <v>17</v>
      </c>
      <c r="D23" s="8">
        <v>0.78288000000000002</v>
      </c>
      <c r="E23" s="8">
        <v>0.53633600000000003</v>
      </c>
      <c r="F23" s="8">
        <v>0.44328400000000001</v>
      </c>
      <c r="G23" s="8">
        <v>0.85970000000000002</v>
      </c>
      <c r="H23" s="8">
        <v>1.0326E-2</v>
      </c>
      <c r="I23" s="8">
        <v>-0.93575699999999995</v>
      </c>
    </row>
    <row r="24" spans="3:9" x14ac:dyDescent="0.2">
      <c r="C24" s="1">
        <v>18</v>
      </c>
      <c r="D24" s="8">
        <v>0.92177600000000004</v>
      </c>
      <c r="E24" s="8">
        <v>0.931871</v>
      </c>
      <c r="F24" s="8">
        <v>0.41487600000000002</v>
      </c>
      <c r="G24" s="8">
        <v>0.59505699999999995</v>
      </c>
      <c r="H24" s="8">
        <v>0.735626</v>
      </c>
      <c r="I24" s="8">
        <v>-2.1557680000000001</v>
      </c>
    </row>
    <row r="25" spans="3:9" x14ac:dyDescent="0.2">
      <c r="C25" s="1">
        <v>19</v>
      </c>
      <c r="D25" s="8">
        <v>0.12667900000000001</v>
      </c>
      <c r="E25" s="8">
        <v>0.29147000000000001</v>
      </c>
      <c r="F25" s="8">
        <v>6.4528000000000002E-2</v>
      </c>
      <c r="G25" s="8">
        <v>0.68051499999999998</v>
      </c>
      <c r="H25" s="8">
        <v>0.89281900000000003</v>
      </c>
      <c r="I25" s="8">
        <v>-1.746882</v>
      </c>
    </row>
    <row r="26" spans="3:9" x14ac:dyDescent="0.2">
      <c r="C26" s="1">
        <v>20</v>
      </c>
      <c r="D26" s="7">
        <v>0.68181800000000004</v>
      </c>
      <c r="E26" s="7">
        <v>0.13636400000000001</v>
      </c>
      <c r="F26" s="7">
        <v>0.72727299999999995</v>
      </c>
      <c r="G26" s="7">
        <v>0.68181800000000004</v>
      </c>
      <c r="H26" s="7">
        <v>4.5455000000000002E-2</v>
      </c>
      <c r="I26" s="7">
        <v>-0.72253279585881003</v>
      </c>
    </row>
    <row r="27" spans="3:9" x14ac:dyDescent="0.2">
      <c r="C27" s="1">
        <v>21</v>
      </c>
      <c r="D27" s="7">
        <v>0.70703899999999997</v>
      </c>
      <c r="E27" s="7">
        <v>0.10198599999999999</v>
      </c>
      <c r="F27" s="7">
        <v>0.77693999999999996</v>
      </c>
      <c r="G27" s="7">
        <v>0.70339399999999996</v>
      </c>
      <c r="H27" s="7">
        <v>5.5558999999999997E-2</v>
      </c>
      <c r="I27" s="7">
        <v>-0.79882653763626399</v>
      </c>
    </row>
    <row r="28" spans="3:9" x14ac:dyDescent="0.2">
      <c r="C28" s="1">
        <v>22</v>
      </c>
      <c r="D28" s="7">
        <v>0.14085700000000001</v>
      </c>
      <c r="E28" s="7">
        <v>0.235485</v>
      </c>
      <c r="F28" s="7">
        <v>0.35771700000000001</v>
      </c>
      <c r="G28" s="7">
        <v>0.98455300000000001</v>
      </c>
      <c r="H28" s="7">
        <v>2.9406999999999999E-2</v>
      </c>
      <c r="I28" s="7">
        <v>-0.99637425372166799</v>
      </c>
    </row>
    <row r="29" spans="3:9" x14ac:dyDescent="0.2">
      <c r="C29" s="1">
        <v>23</v>
      </c>
      <c r="D29" s="7">
        <v>0.15576799999999999</v>
      </c>
      <c r="E29" s="7">
        <v>0.96324900000000002</v>
      </c>
      <c r="F29" s="7">
        <v>0.13669000000000001</v>
      </c>
      <c r="G29" s="7">
        <v>0.99597000000000002</v>
      </c>
      <c r="H29" s="7" t="s">
        <v>27</v>
      </c>
      <c r="I29" s="7">
        <v>-1.6915047979039599</v>
      </c>
    </row>
    <row r="30" spans="3:9" x14ac:dyDescent="0.2">
      <c r="C30" s="1">
        <v>24</v>
      </c>
      <c r="D30" s="7">
        <v>0.40031800000000001</v>
      </c>
      <c r="E30" s="7">
        <v>0.39494899999999999</v>
      </c>
      <c r="F30" s="7">
        <v>0.69349400000000005</v>
      </c>
      <c r="G30" s="7">
        <v>0.98836599999999997</v>
      </c>
      <c r="H30" s="7">
        <v>0.303759</v>
      </c>
      <c r="I30" s="7">
        <v>-0.56660638334951197</v>
      </c>
    </row>
    <row r="31" spans="3:9" x14ac:dyDescent="0.2">
      <c r="C31" s="1">
        <v>25</v>
      </c>
      <c r="D31" s="7">
        <v>0.44369500000000001</v>
      </c>
      <c r="E31" s="7">
        <v>0.466007</v>
      </c>
      <c r="F31" s="7">
        <v>0.60948100000000005</v>
      </c>
      <c r="G31" s="7">
        <v>0.70080399999999998</v>
      </c>
      <c r="H31" s="7">
        <v>0.19200600000000001</v>
      </c>
      <c r="I31" s="7">
        <v>-0.32623545246284202</v>
      </c>
    </row>
    <row r="32" spans="3:9" x14ac:dyDescent="0.2">
      <c r="C32" s="1">
        <v>26</v>
      </c>
      <c r="D32" s="7">
        <v>0.52044999999999997</v>
      </c>
      <c r="E32" s="7">
        <v>0.33563900000000002</v>
      </c>
      <c r="F32" s="7">
        <v>0.579623</v>
      </c>
      <c r="G32" s="7">
        <v>0.77776400000000001</v>
      </c>
      <c r="H32" s="7">
        <v>0.30684299999999998</v>
      </c>
      <c r="I32" s="7">
        <v>-0.40555009968799099</v>
      </c>
    </row>
    <row r="33" spans="3:9" x14ac:dyDescent="0.2">
      <c r="C33" s="1">
        <v>27</v>
      </c>
      <c r="D33" s="7">
        <v>0.50282899999999997</v>
      </c>
      <c r="E33" s="7">
        <v>0.43590200000000001</v>
      </c>
      <c r="F33" s="7">
        <v>0.74867799999999995</v>
      </c>
      <c r="G33" s="7">
        <v>0.71909900000000004</v>
      </c>
      <c r="H33" s="7">
        <v>0.143764</v>
      </c>
      <c r="I33" s="7">
        <v>-0.435050768704975</v>
      </c>
    </row>
    <row r="34" spans="3:9" x14ac:dyDescent="0.2">
      <c r="C34" s="1">
        <v>28</v>
      </c>
      <c r="D34" s="7">
        <v>0.36009000000000002</v>
      </c>
      <c r="E34" s="7">
        <v>0.34002500000000002</v>
      </c>
      <c r="F34" s="7">
        <v>0.56563699999999995</v>
      </c>
      <c r="G34" s="7">
        <v>0.760571</v>
      </c>
      <c r="H34" s="7">
        <v>0.13533400000000001</v>
      </c>
      <c r="I34" s="7">
        <v>-0.21480145690226299</v>
      </c>
    </row>
    <row r="35" spans="3:9" x14ac:dyDescent="0.2">
      <c r="C35" s="1">
        <v>29</v>
      </c>
      <c r="D35" s="7">
        <v>0.34216600000000003</v>
      </c>
      <c r="E35" s="7">
        <v>0.36335200000000001</v>
      </c>
      <c r="F35" s="7">
        <v>0.42460399999999998</v>
      </c>
      <c r="G35" s="7">
        <v>0.74658599999999997</v>
      </c>
      <c r="H35" s="7">
        <v>0.19201699999999999</v>
      </c>
      <c r="I35" s="7">
        <v>-0.43178521606181097</v>
      </c>
    </row>
    <row r="36" spans="3:9" x14ac:dyDescent="0.2">
      <c r="C36" s="1">
        <v>30</v>
      </c>
      <c r="D36" s="7">
        <v>0.40482099999999999</v>
      </c>
      <c r="E36" s="7">
        <v>0.35413</v>
      </c>
      <c r="F36" s="7">
        <v>0.61893799999999999</v>
      </c>
      <c r="G36" s="7">
        <v>0.78852599999999995</v>
      </c>
      <c r="H36" s="7">
        <v>0.107687</v>
      </c>
      <c r="I36" s="7">
        <v>-5.0084273514361802E-2</v>
      </c>
    </row>
    <row r="37" spans="3:9" x14ac:dyDescent="0.2">
      <c r="C37" s="1">
        <v>31</v>
      </c>
      <c r="D37" s="7">
        <v>0.43793799999999999</v>
      </c>
      <c r="E37" s="7">
        <v>0.36603999999999998</v>
      </c>
      <c r="F37" s="7">
        <v>0.63800299999999999</v>
      </c>
      <c r="G37" s="7">
        <v>0.86458999999999997</v>
      </c>
      <c r="H37" s="7">
        <v>2.0775999999999999E-2</v>
      </c>
      <c r="I37" s="7">
        <v>-0.16756749727703199</v>
      </c>
    </row>
    <row r="38" spans="3:9" x14ac:dyDescent="0.2">
      <c r="C38" s="1">
        <v>32</v>
      </c>
      <c r="D38" s="7">
        <v>0.45144600000000001</v>
      </c>
      <c r="E38" s="7">
        <v>0.34433900000000001</v>
      </c>
      <c r="F38" s="7">
        <v>0.63704899999999998</v>
      </c>
      <c r="G38" s="7">
        <v>0.79239300000000001</v>
      </c>
      <c r="H38" s="7">
        <v>0.105228</v>
      </c>
      <c r="I38" s="7">
        <v>-9.9907160286655902E-2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8A31-8EEC-EB45-90A2-E04987F87A29}">
  <dimension ref="B4:Y47"/>
  <sheetViews>
    <sheetView topLeftCell="K2" zoomScale="75" workbookViewId="0">
      <selection activeCell="S15" sqref="S15"/>
    </sheetView>
  </sheetViews>
  <sheetFormatPr baseColWidth="10" defaultRowHeight="16" x14ac:dyDescent="0.2"/>
  <cols>
    <col min="13" max="13" width="14.6640625" customWidth="1"/>
    <col min="14" max="14" width="13.83203125" customWidth="1"/>
    <col min="15" max="15" width="14" customWidth="1"/>
    <col min="16" max="16" width="15" customWidth="1"/>
    <col min="17" max="17" width="14" customWidth="1"/>
    <col min="18" max="18" width="15.1640625" customWidth="1"/>
    <col min="19" max="19" width="21.6640625" customWidth="1"/>
    <col min="20" max="20" width="15.33203125" customWidth="1"/>
    <col min="21" max="21" width="19.6640625" customWidth="1"/>
    <col min="22" max="22" width="15" customWidth="1"/>
    <col min="23" max="23" width="14.83203125" customWidth="1"/>
    <col min="24" max="24" width="15.33203125" customWidth="1"/>
    <col min="25" max="25" width="17" customWidth="1"/>
  </cols>
  <sheetData>
    <row r="4" spans="2:25" x14ac:dyDescent="0.2">
      <c r="D4" s="1" t="s">
        <v>0</v>
      </c>
      <c r="E4" s="1" t="s">
        <v>1</v>
      </c>
      <c r="F4" s="1" t="s">
        <v>6</v>
      </c>
      <c r="G4" s="1" t="s">
        <v>8</v>
      </c>
      <c r="H4" s="1" t="s">
        <v>10</v>
      </c>
      <c r="I4" s="1" t="s">
        <v>11</v>
      </c>
      <c r="J4" s="1" t="s">
        <v>2</v>
      </c>
      <c r="L4" s="1" t="s">
        <v>13</v>
      </c>
      <c r="M4" s="1" t="s">
        <v>4</v>
      </c>
      <c r="N4" s="1" t="s">
        <v>18</v>
      </c>
      <c r="O4" s="1" t="s">
        <v>24</v>
      </c>
      <c r="P4" s="1" t="s">
        <v>25</v>
      </c>
      <c r="Q4" s="1" t="s">
        <v>28</v>
      </c>
      <c r="R4" s="1" t="s">
        <v>32</v>
      </c>
      <c r="S4" s="1" t="s">
        <v>34</v>
      </c>
      <c r="T4" s="1" t="s">
        <v>39</v>
      </c>
      <c r="U4" s="1" t="s">
        <v>38</v>
      </c>
      <c r="V4" s="1" t="s">
        <v>43</v>
      </c>
      <c r="W4" s="1" t="s">
        <v>46</v>
      </c>
      <c r="X4" s="1" t="s">
        <v>47</v>
      </c>
      <c r="Y4" s="1" t="s">
        <v>48</v>
      </c>
    </row>
    <row r="5" spans="2:25" x14ac:dyDescent="0.2">
      <c r="B5" s="5" t="s">
        <v>5</v>
      </c>
      <c r="C5" s="1">
        <v>0</v>
      </c>
      <c r="D5" s="8">
        <v>0.27262399999999998</v>
      </c>
      <c r="E5" s="8">
        <v>0.32449499999999998</v>
      </c>
      <c r="F5" s="8">
        <v>0.89710900000000005</v>
      </c>
      <c r="G5" s="8">
        <v>0.832951</v>
      </c>
      <c r="H5" s="8">
        <v>0.15406300000000001</v>
      </c>
      <c r="I5" s="8">
        <v>0.79586400000000002</v>
      </c>
      <c r="J5" s="8">
        <v>0.604433</v>
      </c>
      <c r="L5">
        <f>MAX(J5:J34)</f>
        <v>1.364968</v>
      </c>
      <c r="M5">
        <f>MAX(J5:J35)</f>
        <v>1.364968</v>
      </c>
      <c r="N5">
        <f>MAX(J5:J36)</f>
        <v>1.364968</v>
      </c>
      <c r="O5">
        <f>MAX(J5:J37)</f>
        <v>1.364968</v>
      </c>
      <c r="P5">
        <f>MAX(J5:J38)</f>
        <v>1.364968</v>
      </c>
      <c r="Q5">
        <f>MAX(J5:J39)</f>
        <v>1.364968</v>
      </c>
      <c r="R5">
        <f>MAX(J5:J40)</f>
        <v>2.0203487535312199</v>
      </c>
      <c r="S5">
        <f>MAX(J5:J41)</f>
        <v>2.24642659782582</v>
      </c>
      <c r="T5">
        <f>MAX(J5:J42)</f>
        <v>2.24642659782582</v>
      </c>
      <c r="U5">
        <f>MAX(J5:J43)</f>
        <v>2.7030203816122098</v>
      </c>
      <c r="V5">
        <f>MAX(J5:J44)</f>
        <v>2.7030203816122098</v>
      </c>
      <c r="W5">
        <f>MAX(J5:J45)</f>
        <v>2.7543332443388802</v>
      </c>
      <c r="X5">
        <f>MAX(J5:J46)</f>
        <v>2.7543332443388802</v>
      </c>
      <c r="Y5">
        <f>MAX(J5:J47)</f>
        <v>2.7543332443388802</v>
      </c>
    </row>
    <row r="6" spans="2:25" x14ac:dyDescent="0.2">
      <c r="C6" s="1">
        <v>1</v>
      </c>
      <c r="D6" s="8">
        <v>0.54300300000000001</v>
      </c>
      <c r="E6" s="8">
        <v>0.92469400000000002</v>
      </c>
      <c r="F6" s="8">
        <v>0.34156700000000001</v>
      </c>
      <c r="G6" s="8">
        <v>0.64648600000000001</v>
      </c>
      <c r="H6" s="8">
        <v>0.71843999999999997</v>
      </c>
      <c r="I6" s="8">
        <v>0.34313300000000002</v>
      </c>
      <c r="J6" s="8">
        <v>0.56275299999999995</v>
      </c>
      <c r="M6" s="6">
        <f>(M5-L5)/L5</f>
        <v>0</v>
      </c>
      <c r="N6" s="6">
        <f t="shared" ref="N6:V6" si="0">(N5-M5)/M5</f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0.48014367628487992</v>
      </c>
      <c r="S6" s="6">
        <f t="shared" si="0"/>
        <v>0.11190040526392048</v>
      </c>
      <c r="T6" s="6">
        <f t="shared" si="0"/>
        <v>0</v>
      </c>
      <c r="U6" s="6">
        <f t="shared" si="0"/>
        <v>0.203253373258801</v>
      </c>
      <c r="V6" s="6">
        <f t="shared" si="0"/>
        <v>0</v>
      </c>
      <c r="W6" s="6">
        <f t="shared" ref="W6" si="1">(W5-V5)/V5</f>
        <v>1.8983527862288969E-2</v>
      </c>
      <c r="X6" s="6">
        <f t="shared" ref="X6" si="2">(X5-W5)/W5</f>
        <v>0</v>
      </c>
      <c r="Y6" s="6">
        <f t="shared" ref="Y6" si="3">(Y5-X5)/X5</f>
        <v>0</v>
      </c>
    </row>
    <row r="7" spans="2:25" x14ac:dyDescent="0.2">
      <c r="C7" s="1">
        <v>2</v>
      </c>
      <c r="D7" s="8">
        <v>9.0831999999999996E-2</v>
      </c>
      <c r="E7" s="8">
        <v>0.66152900000000003</v>
      </c>
      <c r="F7" s="8">
        <v>6.5931000000000003E-2</v>
      </c>
      <c r="G7" s="8">
        <v>0.258577</v>
      </c>
      <c r="H7" s="8">
        <v>0.963453</v>
      </c>
      <c r="I7" s="8">
        <v>0.64026499999999997</v>
      </c>
      <c r="J7" s="8">
        <v>7.5030000000000001E-3</v>
      </c>
    </row>
    <row r="8" spans="2:25" x14ac:dyDescent="0.2">
      <c r="C8" s="1">
        <v>3</v>
      </c>
      <c r="D8" s="8">
        <v>0.118867</v>
      </c>
      <c r="E8" s="8">
        <v>0.61505500000000002</v>
      </c>
      <c r="F8" s="8">
        <v>0.90581599999999995</v>
      </c>
      <c r="G8" s="8">
        <v>0.85529999999999995</v>
      </c>
      <c r="H8" s="8">
        <v>0.41363100000000003</v>
      </c>
      <c r="I8" s="8">
        <v>0.58523599999999998</v>
      </c>
      <c r="J8" s="8">
        <v>6.1423999999999999E-2</v>
      </c>
    </row>
    <row r="9" spans="2:25" x14ac:dyDescent="0.2">
      <c r="C9" s="1">
        <v>4</v>
      </c>
      <c r="D9" s="8">
        <v>0.63021799999999994</v>
      </c>
      <c r="E9" s="8">
        <v>0.83809699999999998</v>
      </c>
      <c r="F9" s="8">
        <v>0.68001299999999998</v>
      </c>
      <c r="G9" s="8">
        <v>0.73189499999999996</v>
      </c>
      <c r="H9" s="8">
        <v>0.52673700000000001</v>
      </c>
      <c r="I9" s="8">
        <v>0.34842899999999999</v>
      </c>
      <c r="J9" s="8">
        <v>0.27304699999999998</v>
      </c>
    </row>
    <row r="10" spans="2:25" x14ac:dyDescent="0.2">
      <c r="C10" s="1">
        <v>5</v>
      </c>
      <c r="D10" s="8">
        <v>0.76491900000000002</v>
      </c>
      <c r="E10" s="8">
        <v>0.25588300000000003</v>
      </c>
      <c r="F10" s="8">
        <v>0.60908399999999996</v>
      </c>
      <c r="G10" s="8">
        <v>0.218079</v>
      </c>
      <c r="H10" s="8">
        <v>0.32294299999999998</v>
      </c>
      <c r="I10" s="8">
        <v>9.5794000000000004E-2</v>
      </c>
      <c r="J10" s="8">
        <v>8.3747000000000002E-2</v>
      </c>
    </row>
    <row r="11" spans="2:25" x14ac:dyDescent="0.2">
      <c r="C11" s="1">
        <v>6</v>
      </c>
      <c r="D11" s="8">
        <v>5.7896000000000003E-2</v>
      </c>
      <c r="E11" s="8">
        <v>0.491672</v>
      </c>
      <c r="F11" s="8">
        <v>0.247422</v>
      </c>
      <c r="G11" s="8">
        <v>0.21811800000000001</v>
      </c>
      <c r="H11" s="8">
        <v>0.42042800000000002</v>
      </c>
      <c r="I11" s="8">
        <v>0.73097000000000001</v>
      </c>
      <c r="J11" s="8">
        <v>1.364968</v>
      </c>
    </row>
    <row r="12" spans="2:25" x14ac:dyDescent="0.2">
      <c r="C12" s="1">
        <v>7</v>
      </c>
      <c r="D12" s="8">
        <v>0.19525200000000001</v>
      </c>
      <c r="E12" s="8">
        <v>7.9227000000000006E-2</v>
      </c>
      <c r="F12" s="8">
        <v>0.55457999999999996</v>
      </c>
      <c r="G12" s="8">
        <v>0.170567</v>
      </c>
      <c r="H12" s="8">
        <v>1.4944000000000001E-2</v>
      </c>
      <c r="I12" s="8">
        <v>0.107032</v>
      </c>
      <c r="J12" s="8">
        <v>9.2645000000000005E-2</v>
      </c>
    </row>
    <row r="13" spans="2:25" x14ac:dyDescent="0.2">
      <c r="C13" s="1">
        <v>8</v>
      </c>
      <c r="D13" s="8">
        <v>0.64230299999999996</v>
      </c>
      <c r="E13" s="8">
        <v>0.83687500000000004</v>
      </c>
      <c r="F13" s="8">
        <v>2.1793E-2</v>
      </c>
      <c r="G13" s="8">
        <v>0.10148799999999999</v>
      </c>
      <c r="H13" s="8">
        <v>0.68307099999999998</v>
      </c>
      <c r="I13" s="8">
        <v>0.69241600000000003</v>
      </c>
      <c r="J13" s="8">
        <v>1.787E-2</v>
      </c>
    </row>
    <row r="14" spans="2:25" x14ac:dyDescent="0.2">
      <c r="C14" s="1">
        <v>9</v>
      </c>
      <c r="D14" s="8">
        <v>0.78994299999999995</v>
      </c>
      <c r="E14" s="8">
        <v>0.195545</v>
      </c>
      <c r="F14" s="8">
        <v>0.575623</v>
      </c>
      <c r="G14" s="8">
        <v>7.3659000000000002E-2</v>
      </c>
      <c r="H14" s="8">
        <v>0.25904899999999997</v>
      </c>
      <c r="I14" s="8">
        <v>5.11E-2</v>
      </c>
      <c r="J14" s="8">
        <v>3.3564999999999998E-2</v>
      </c>
    </row>
    <row r="15" spans="2:25" x14ac:dyDescent="0.2">
      <c r="C15" s="1">
        <v>10</v>
      </c>
      <c r="D15" s="8">
        <v>0.52849699999999999</v>
      </c>
      <c r="E15" s="8">
        <v>0.457424</v>
      </c>
      <c r="F15" s="8">
        <v>0.36009600000000003</v>
      </c>
      <c r="G15" s="8">
        <v>0.36204599999999998</v>
      </c>
      <c r="H15" s="8">
        <v>0.81689100000000003</v>
      </c>
      <c r="I15" s="8">
        <v>0.63747600000000004</v>
      </c>
      <c r="J15" s="8">
        <v>7.3515999999999998E-2</v>
      </c>
    </row>
    <row r="16" spans="2:25" x14ac:dyDescent="0.2">
      <c r="C16" s="1">
        <v>11</v>
      </c>
      <c r="D16" s="8">
        <v>0.72261500000000001</v>
      </c>
      <c r="E16" s="8">
        <v>1.1813000000000001E-2</v>
      </c>
      <c r="F16" s="8">
        <v>6.3645999999999994E-2</v>
      </c>
      <c r="G16" s="8">
        <v>0.16517299999999999</v>
      </c>
      <c r="H16" s="8">
        <v>7.9243999999999995E-2</v>
      </c>
      <c r="I16" s="8">
        <v>0.35995199999999999</v>
      </c>
      <c r="J16" s="8">
        <v>0.20630999999999999</v>
      </c>
    </row>
    <row r="17" spans="3:10" x14ac:dyDescent="0.2">
      <c r="C17" s="1">
        <v>12</v>
      </c>
      <c r="D17" s="8">
        <v>7.5664999999999996E-2</v>
      </c>
      <c r="E17" s="8">
        <v>0.33450200000000002</v>
      </c>
      <c r="F17" s="8">
        <v>0.13273299999999999</v>
      </c>
      <c r="G17" s="8">
        <v>0.60831199999999996</v>
      </c>
      <c r="H17" s="8">
        <v>0.91838600000000004</v>
      </c>
      <c r="I17" s="8">
        <v>0.82233100000000003</v>
      </c>
      <c r="J17" s="8">
        <v>8.8260000000000005E-3</v>
      </c>
    </row>
    <row r="18" spans="3:10" x14ac:dyDescent="0.2">
      <c r="C18" s="1">
        <v>13</v>
      </c>
      <c r="D18" s="8">
        <v>0.94245100000000004</v>
      </c>
      <c r="E18" s="8">
        <v>0.37744</v>
      </c>
      <c r="F18" s="8">
        <v>0.486122</v>
      </c>
      <c r="G18" s="8">
        <v>0.22879099999999999</v>
      </c>
      <c r="H18" s="8">
        <v>8.2631999999999997E-2</v>
      </c>
      <c r="I18" s="8">
        <v>0.71195799999999998</v>
      </c>
      <c r="J18" s="8">
        <v>0.26840000000000003</v>
      </c>
    </row>
    <row r="19" spans="3:10" x14ac:dyDescent="0.2">
      <c r="C19" s="1">
        <v>14</v>
      </c>
      <c r="D19" s="8">
        <v>0.148647</v>
      </c>
      <c r="E19" s="8">
        <v>3.3943000000000001E-2</v>
      </c>
      <c r="F19" s="8">
        <v>0.72880599999999995</v>
      </c>
      <c r="G19" s="8">
        <v>0.31606600000000001</v>
      </c>
      <c r="H19" s="8">
        <v>2.1769E-2</v>
      </c>
      <c r="I19" s="8">
        <v>0.51691799999999999</v>
      </c>
      <c r="J19" s="8">
        <v>0.61152600000000001</v>
      </c>
    </row>
    <row r="20" spans="3:10" x14ac:dyDescent="0.2">
      <c r="C20" s="1">
        <v>15</v>
      </c>
      <c r="D20" s="8">
        <v>0.81711199999999995</v>
      </c>
      <c r="E20" s="8">
        <v>0.54816799999999999</v>
      </c>
      <c r="F20" s="8">
        <v>0.103348</v>
      </c>
      <c r="G20" s="8">
        <v>0.12436999999999999</v>
      </c>
      <c r="H20" s="8">
        <v>0.72823499999999997</v>
      </c>
      <c r="I20" s="8">
        <v>0.44967400000000002</v>
      </c>
      <c r="J20" s="8">
        <v>1.4798E-2</v>
      </c>
    </row>
    <row r="21" spans="3:10" x14ac:dyDescent="0.2">
      <c r="C21" s="1">
        <v>16</v>
      </c>
      <c r="D21" s="8">
        <v>0.417626</v>
      </c>
      <c r="E21" s="8">
        <v>6.4100000000000004E-2</v>
      </c>
      <c r="F21" s="8">
        <v>0.245669</v>
      </c>
      <c r="G21" s="8">
        <v>0.55904100000000001</v>
      </c>
      <c r="H21" s="8">
        <v>0.19153100000000001</v>
      </c>
      <c r="I21" s="8">
        <v>0.25464100000000001</v>
      </c>
      <c r="J21" s="8">
        <v>0.274893</v>
      </c>
    </row>
    <row r="22" spans="3:10" x14ac:dyDescent="0.2">
      <c r="C22" s="1">
        <v>17</v>
      </c>
      <c r="D22" s="8">
        <v>0.72628599999999999</v>
      </c>
      <c r="E22" s="8">
        <v>0.46489599999999998</v>
      </c>
      <c r="F22" s="8">
        <v>0.92457100000000003</v>
      </c>
      <c r="G22" s="8">
        <v>0.80724499999999999</v>
      </c>
      <c r="H22" s="8">
        <v>0.63543799999999995</v>
      </c>
      <c r="I22" s="8">
        <v>0.14341799999999999</v>
      </c>
      <c r="J22" s="8">
        <v>6.6763000000000003E-2</v>
      </c>
    </row>
    <row r="23" spans="3:10" x14ac:dyDescent="0.2">
      <c r="C23" s="1">
        <v>18</v>
      </c>
      <c r="D23" s="8">
        <v>0.31980999999999998</v>
      </c>
      <c r="E23" s="8">
        <v>0.52009799999999995</v>
      </c>
      <c r="F23" s="8">
        <v>0.29067799999999999</v>
      </c>
      <c r="G23" s="8">
        <v>0.87670700000000001</v>
      </c>
      <c r="H23" s="8">
        <v>0.495035</v>
      </c>
      <c r="I23" s="8">
        <v>0.61908200000000002</v>
      </c>
      <c r="J23" s="8">
        <v>4.2118000000000003E-2</v>
      </c>
    </row>
    <row r="24" spans="3:10" x14ac:dyDescent="0.2">
      <c r="C24" s="1">
        <v>19</v>
      </c>
      <c r="D24" s="8">
        <v>0.87987099999999996</v>
      </c>
      <c r="E24" s="8">
        <v>0.39796199999999998</v>
      </c>
      <c r="F24" s="8">
        <v>3.6350000000000002E-3</v>
      </c>
      <c r="G24" s="8">
        <v>0.95699100000000004</v>
      </c>
      <c r="H24" s="8">
        <v>0.26451400000000003</v>
      </c>
      <c r="I24" s="8">
        <v>0.114869</v>
      </c>
      <c r="J24" s="8">
        <v>2.7009999999999998E-3</v>
      </c>
    </row>
    <row r="25" spans="3:10" x14ac:dyDescent="0.2">
      <c r="C25" s="1">
        <v>20</v>
      </c>
      <c r="D25" s="8">
        <v>0.54124099999999997</v>
      </c>
      <c r="E25" s="8">
        <v>0.63140300000000005</v>
      </c>
      <c r="F25" s="8">
        <v>3.1902E-2</v>
      </c>
      <c r="G25" s="8">
        <v>0.44998199999999999</v>
      </c>
      <c r="H25" s="8">
        <v>0.79865299999999995</v>
      </c>
      <c r="I25" s="8">
        <v>0.63370400000000005</v>
      </c>
      <c r="J25" s="8">
        <v>1.8208999999999999E-2</v>
      </c>
    </row>
    <row r="26" spans="3:10" x14ac:dyDescent="0.2">
      <c r="C26" s="1">
        <v>21</v>
      </c>
      <c r="D26" s="8">
        <v>0.22634799999999999</v>
      </c>
      <c r="E26" s="8">
        <v>0.115026</v>
      </c>
      <c r="F26" s="8">
        <v>0.82474999999999998</v>
      </c>
      <c r="G26" s="8">
        <v>0.945384</v>
      </c>
      <c r="H26" s="8">
        <v>0.90531200000000001</v>
      </c>
      <c r="I26" s="8">
        <v>0.95101400000000003</v>
      </c>
      <c r="J26" s="8">
        <v>7.0159999999999997E-3</v>
      </c>
    </row>
    <row r="27" spans="3:10" x14ac:dyDescent="0.2">
      <c r="C27" s="1">
        <v>22</v>
      </c>
      <c r="D27" s="8">
        <v>0.68685300000000005</v>
      </c>
      <c r="E27" s="8">
        <v>4.1016999999999998E-2</v>
      </c>
      <c r="F27" s="8">
        <v>7.5729999999999999E-3</v>
      </c>
      <c r="G27" s="8">
        <v>0.28500900000000001</v>
      </c>
      <c r="H27" s="8">
        <v>0.69156799999999996</v>
      </c>
      <c r="I27" s="8">
        <v>0.65554299999999999</v>
      </c>
      <c r="J27" s="8">
        <v>0.100507</v>
      </c>
    </row>
    <row r="28" spans="3:10" x14ac:dyDescent="0.2">
      <c r="C28" s="1">
        <v>23</v>
      </c>
      <c r="D28" s="8">
        <v>0.175978</v>
      </c>
      <c r="E28" s="8">
        <v>0.62441599999999997</v>
      </c>
      <c r="F28" s="8">
        <v>0.29554200000000003</v>
      </c>
      <c r="G28" s="8">
        <v>0.469553</v>
      </c>
      <c r="H28" s="8">
        <v>9.7769999999999996E-2</v>
      </c>
      <c r="I28" s="8">
        <v>0.72814100000000004</v>
      </c>
      <c r="J28" s="8">
        <v>0.47539599999999999</v>
      </c>
    </row>
    <row r="29" spans="3:10" x14ac:dyDescent="0.2">
      <c r="C29" s="1">
        <v>24</v>
      </c>
      <c r="D29" s="8">
        <v>0.88164699999999996</v>
      </c>
      <c r="E29" s="8">
        <v>0.20444999999999999</v>
      </c>
      <c r="F29" s="8">
        <v>0.41447400000000001</v>
      </c>
      <c r="G29" s="8">
        <v>0.42038500000000001</v>
      </c>
      <c r="H29" s="8">
        <v>0.26491500000000001</v>
      </c>
      <c r="I29" s="8">
        <v>0.73065999999999998</v>
      </c>
      <c r="J29" s="8">
        <v>0.67514200000000002</v>
      </c>
    </row>
    <row r="30" spans="3:10" x14ac:dyDescent="0.2">
      <c r="C30" s="1">
        <v>25</v>
      </c>
      <c r="D30" s="8">
        <v>6.6611000000000004E-2</v>
      </c>
      <c r="E30" s="8">
        <v>0.52804499999999999</v>
      </c>
      <c r="F30" s="8">
        <v>0.81609500000000001</v>
      </c>
      <c r="G30" s="8">
        <v>0.96101700000000001</v>
      </c>
      <c r="H30" s="8">
        <v>8.6509000000000003E-2</v>
      </c>
      <c r="I30" s="8">
        <v>0.77778800000000003</v>
      </c>
      <c r="J30" s="8">
        <v>0.51645700000000005</v>
      </c>
    </row>
    <row r="31" spans="3:10" x14ac:dyDescent="0.2">
      <c r="C31" s="1">
        <v>26</v>
      </c>
      <c r="D31" s="8">
        <v>0.93246600000000002</v>
      </c>
      <c r="E31" s="8">
        <v>0.48881200000000002</v>
      </c>
      <c r="F31" s="8">
        <v>0.258608</v>
      </c>
      <c r="G31" s="8">
        <v>0.95624299999999995</v>
      </c>
      <c r="H31" s="8">
        <v>0.19042799999999999</v>
      </c>
      <c r="I31" s="8">
        <v>0.51985199999999998</v>
      </c>
      <c r="J31" s="8">
        <v>3.777E-3</v>
      </c>
    </row>
    <row r="32" spans="3:10" x14ac:dyDescent="0.2">
      <c r="C32" s="1">
        <v>27</v>
      </c>
      <c r="D32" s="8">
        <v>0.84686700000000004</v>
      </c>
      <c r="E32" s="8">
        <v>0.142429</v>
      </c>
      <c r="F32" s="8">
        <v>6.0669000000000001E-2</v>
      </c>
      <c r="G32" s="8">
        <v>0.75629199999999996</v>
      </c>
      <c r="H32" s="8">
        <v>0.55239799999999994</v>
      </c>
      <c r="I32" s="8">
        <v>8.1306000000000003E-2</v>
      </c>
      <c r="J32" s="8">
        <v>3.1340000000000001E-3</v>
      </c>
    </row>
    <row r="33" spans="3:10" x14ac:dyDescent="0.2">
      <c r="C33" s="1">
        <v>28</v>
      </c>
      <c r="D33" s="8">
        <v>0.80628200000000005</v>
      </c>
      <c r="E33" s="8">
        <v>0.32412200000000002</v>
      </c>
      <c r="F33" s="8">
        <v>0.72607600000000005</v>
      </c>
      <c r="G33" s="8">
        <v>0.14871200000000001</v>
      </c>
      <c r="H33" s="8">
        <v>0.71937600000000002</v>
      </c>
      <c r="I33" s="8">
        <v>0.36288399999999998</v>
      </c>
      <c r="J33" s="8">
        <v>2.1343000000000001E-2</v>
      </c>
    </row>
    <row r="34" spans="3:10" x14ac:dyDescent="0.2">
      <c r="C34" s="1">
        <v>29</v>
      </c>
      <c r="D34" s="8">
        <v>0.476823</v>
      </c>
      <c r="E34" s="8">
        <v>0.34094200000000002</v>
      </c>
      <c r="F34" s="8">
        <v>1.4335000000000001E-2</v>
      </c>
      <c r="G34" s="8">
        <v>0.88014000000000003</v>
      </c>
      <c r="H34" s="8">
        <v>0.99865499999999996</v>
      </c>
      <c r="I34" s="8">
        <v>7.9663999999999999E-2</v>
      </c>
      <c r="J34" s="8">
        <v>9.5410999999999996E-2</v>
      </c>
    </row>
    <row r="35" spans="3:10" x14ac:dyDescent="0.2">
      <c r="C35" s="1">
        <v>30</v>
      </c>
      <c r="D35" s="7">
        <v>9.0909000000000004E-2</v>
      </c>
      <c r="E35" s="7">
        <v>0.45454499999999998</v>
      </c>
      <c r="F35" s="7" t="s">
        <v>12</v>
      </c>
      <c r="G35" s="7">
        <v>0.18181800000000001</v>
      </c>
      <c r="H35" s="7">
        <v>0.45454499999999998</v>
      </c>
      <c r="I35" s="7">
        <v>0.72727299999999995</v>
      </c>
      <c r="J35" s="7">
        <v>1.29910973591123</v>
      </c>
    </row>
    <row r="36" spans="3:10" x14ac:dyDescent="0.2">
      <c r="C36" s="1">
        <v>31</v>
      </c>
      <c r="D36" s="7">
        <v>0.106216</v>
      </c>
      <c r="E36" s="7">
        <v>0.47169299999999997</v>
      </c>
      <c r="F36" s="7">
        <v>0.26325300000000001</v>
      </c>
      <c r="G36" s="7">
        <v>0.197911</v>
      </c>
      <c r="H36" s="7">
        <v>0.43294100000000002</v>
      </c>
      <c r="I36" s="7">
        <v>0.76841899999999996</v>
      </c>
      <c r="J36" s="7">
        <v>1.3328888585869301</v>
      </c>
    </row>
    <row r="37" spans="3:10" x14ac:dyDescent="0.2">
      <c r="C37" s="1">
        <v>32</v>
      </c>
      <c r="D37" s="7">
        <v>4.2879E-2</v>
      </c>
      <c r="E37" s="7">
        <v>0.13950899999999999</v>
      </c>
      <c r="F37" s="7">
        <v>0.20127900000000001</v>
      </c>
      <c r="G37" s="7">
        <v>0.16739100000000001</v>
      </c>
      <c r="H37" s="7">
        <v>0.24358399999999999</v>
      </c>
      <c r="I37" s="7">
        <v>0.95702399999999999</v>
      </c>
      <c r="J37" s="7">
        <v>1.07825193133451</v>
      </c>
    </row>
    <row r="38" spans="3:10" x14ac:dyDescent="0.2">
      <c r="C38" s="1">
        <v>33</v>
      </c>
      <c r="D38" s="7">
        <v>2.6180000000000001E-3</v>
      </c>
      <c r="E38" s="7">
        <v>0.644617</v>
      </c>
      <c r="F38" s="7">
        <v>0.53299099999999999</v>
      </c>
      <c r="G38" s="7">
        <v>5.3995000000000001E-2</v>
      </c>
      <c r="H38" s="7">
        <v>0.337592</v>
      </c>
      <c r="I38" s="7">
        <v>0.94085700000000005</v>
      </c>
      <c r="J38" s="7">
        <v>0.50886263051320602</v>
      </c>
    </row>
    <row r="39" spans="3:10" x14ac:dyDescent="0.2">
      <c r="C39" s="1">
        <v>34</v>
      </c>
      <c r="D39" s="7">
        <v>3.3064999999999997E-2</v>
      </c>
      <c r="E39" s="7">
        <v>0.54323600000000005</v>
      </c>
      <c r="F39" s="7">
        <v>4.9355000000000003E-2</v>
      </c>
      <c r="G39" s="7">
        <v>3.0671E-2</v>
      </c>
      <c r="H39" s="7">
        <v>0.30518299999999998</v>
      </c>
      <c r="I39" s="7">
        <v>0.70824200000000004</v>
      </c>
      <c r="J39" s="7">
        <v>0.66595083537820199</v>
      </c>
    </row>
    <row r="40" spans="3:10" x14ac:dyDescent="0.2">
      <c r="C40" s="1">
        <v>35</v>
      </c>
      <c r="D40" s="7">
        <v>4.6360000000000004E-3</v>
      </c>
      <c r="E40" s="7">
        <v>0.20776800000000001</v>
      </c>
      <c r="F40" s="7" t="s">
        <v>33</v>
      </c>
      <c r="G40" s="7">
        <v>0.35155500000000001</v>
      </c>
      <c r="H40" s="7">
        <v>0.401196</v>
      </c>
      <c r="I40" s="7">
        <v>0.79228799999999999</v>
      </c>
      <c r="J40" s="9">
        <v>2.0203487535312199</v>
      </c>
    </row>
    <row r="41" spans="3:10" x14ac:dyDescent="0.2">
      <c r="C41" s="1">
        <v>36</v>
      </c>
      <c r="D41" s="7">
        <v>2.6755999999999999E-2</v>
      </c>
      <c r="E41" s="7">
        <v>5.9727000000000002E-2</v>
      </c>
      <c r="F41" s="7">
        <v>0.44921299999999997</v>
      </c>
      <c r="G41" s="7">
        <v>0.390822</v>
      </c>
      <c r="H41" s="7">
        <v>0.34476200000000001</v>
      </c>
      <c r="I41" s="7">
        <v>0.77285700000000002</v>
      </c>
      <c r="J41" s="7">
        <v>2.24642659782582</v>
      </c>
    </row>
    <row r="42" spans="3:10" x14ac:dyDescent="0.2">
      <c r="C42" s="1">
        <v>37</v>
      </c>
      <c r="D42" s="7">
        <v>8.1400000000000005E-4</v>
      </c>
      <c r="E42" s="7">
        <v>1.2685999999999999E-2</v>
      </c>
      <c r="F42" s="7">
        <v>0.41506399999999999</v>
      </c>
      <c r="G42" s="7">
        <v>0.520644</v>
      </c>
      <c r="H42" s="7">
        <v>0.33260600000000001</v>
      </c>
      <c r="I42" s="7">
        <v>0.84514199999999995</v>
      </c>
      <c r="J42" s="7">
        <v>1.1486472882591701</v>
      </c>
    </row>
    <row r="43" spans="3:10" x14ac:dyDescent="0.2">
      <c r="C43" s="1">
        <v>38</v>
      </c>
      <c r="D43" s="7">
        <v>6.2188E-2</v>
      </c>
      <c r="E43" s="7">
        <v>0.108207</v>
      </c>
      <c r="F43" s="7" t="s">
        <v>42</v>
      </c>
      <c r="G43" s="7">
        <v>0.22673699999999999</v>
      </c>
      <c r="H43" s="7">
        <v>0.34456999999999999</v>
      </c>
      <c r="I43" s="7">
        <v>0.75189300000000003</v>
      </c>
      <c r="J43" s="7">
        <v>2.7030203816122098</v>
      </c>
    </row>
    <row r="44" spans="3:10" x14ac:dyDescent="0.2">
      <c r="C44" s="1">
        <v>39</v>
      </c>
      <c r="D44" s="7">
        <v>3.5265999999999999E-2</v>
      </c>
      <c r="E44" s="7">
        <v>0.12155000000000001</v>
      </c>
      <c r="F44" s="7">
        <v>0.61526999999999998</v>
      </c>
      <c r="G44" s="7">
        <v>0.25009500000000001</v>
      </c>
      <c r="H44" s="7">
        <v>0.46783999999999998</v>
      </c>
      <c r="I44" s="7">
        <v>0.73275500000000005</v>
      </c>
      <c r="J44" s="7">
        <v>1.9327503892587199</v>
      </c>
    </row>
    <row r="45" spans="3:10" x14ac:dyDescent="0.2">
      <c r="C45" s="1">
        <v>40</v>
      </c>
      <c r="D45" s="7">
        <v>6.5339999999999995E-2</v>
      </c>
      <c r="E45" s="7">
        <v>9.3913999999999997E-2</v>
      </c>
      <c r="F45" s="7">
        <v>0.53144999999999998</v>
      </c>
      <c r="G45" s="7">
        <v>0.218916</v>
      </c>
      <c r="H45" s="7">
        <v>0.32481700000000002</v>
      </c>
      <c r="I45" s="7">
        <v>0.75045799999999996</v>
      </c>
      <c r="J45" s="7">
        <v>2.7543332443388802</v>
      </c>
    </row>
    <row r="46" spans="3:10" x14ac:dyDescent="0.2">
      <c r="C46" s="1">
        <v>41</v>
      </c>
      <c r="D46" s="7">
        <v>8.2598000000000005E-2</v>
      </c>
      <c r="E46" s="7">
        <v>8.9188000000000003E-2</v>
      </c>
      <c r="F46" s="7">
        <v>0.52378599999999997</v>
      </c>
      <c r="G46" s="7">
        <v>0.246924</v>
      </c>
      <c r="H46" s="7">
        <v>0.29448600000000003</v>
      </c>
      <c r="I46" s="7">
        <v>0.78208</v>
      </c>
      <c r="J46" s="7">
        <v>2.7017548763419299</v>
      </c>
    </row>
    <row r="47" spans="3:10" x14ac:dyDescent="0.2">
      <c r="C47" s="1">
        <v>42</v>
      </c>
      <c r="D47" s="7">
        <v>6.8960000000000002E-3</v>
      </c>
      <c r="E47" s="7">
        <v>0.112535</v>
      </c>
      <c r="F47" s="7">
        <v>0.51476599999999995</v>
      </c>
      <c r="G47" s="7">
        <v>0.24154900000000001</v>
      </c>
      <c r="H47" s="7">
        <v>0.28712599999999999</v>
      </c>
      <c r="I47" s="7">
        <v>0.72622100000000001</v>
      </c>
      <c r="J47" s="7">
        <v>2.6910334454125602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AAD6-8F24-8942-9E6A-1D97AFE5E0E1}">
  <dimension ref="B4:AA57"/>
  <sheetViews>
    <sheetView tabSelected="1" topLeftCell="F1" zoomScale="75" workbookViewId="0">
      <selection activeCell="X25" sqref="X25"/>
    </sheetView>
  </sheetViews>
  <sheetFormatPr baseColWidth="10" defaultRowHeight="16" x14ac:dyDescent="0.2"/>
  <cols>
    <col min="12" max="12" width="16" customWidth="1"/>
    <col min="13" max="13" width="24.83203125" customWidth="1"/>
    <col min="15" max="15" width="16.1640625" customWidth="1"/>
    <col min="16" max="16" width="16" customWidth="1"/>
    <col min="17" max="17" width="19.6640625" customWidth="1"/>
    <col min="18" max="18" width="19.5" customWidth="1"/>
    <col min="19" max="19" width="20" customWidth="1"/>
    <col min="20" max="20" width="20.6640625" customWidth="1"/>
    <col min="21" max="21" width="18.1640625" customWidth="1"/>
    <col min="22" max="22" width="16.1640625" customWidth="1"/>
    <col min="23" max="23" width="16.33203125" customWidth="1"/>
    <col min="24" max="24" width="17.33203125" customWidth="1"/>
    <col min="25" max="25" width="16.33203125" customWidth="1"/>
    <col min="26" max="26" width="16.1640625" customWidth="1"/>
    <col min="27" max="27" width="15.33203125" customWidth="1"/>
  </cols>
  <sheetData>
    <row r="4" spans="2:27" x14ac:dyDescent="0.2">
      <c r="D4" s="1" t="s">
        <v>0</v>
      </c>
      <c r="E4" s="1" t="s">
        <v>1</v>
      </c>
      <c r="F4" s="1" t="s">
        <v>6</v>
      </c>
      <c r="G4" s="1" t="s">
        <v>8</v>
      </c>
      <c r="H4" s="1" t="s">
        <v>10</v>
      </c>
      <c r="I4" s="1" t="s">
        <v>11</v>
      </c>
      <c r="J4" s="1" t="s">
        <v>14</v>
      </c>
      <c r="K4" s="1" t="s">
        <v>15</v>
      </c>
      <c r="L4" s="1" t="s">
        <v>2</v>
      </c>
      <c r="N4" s="1" t="s">
        <v>13</v>
      </c>
      <c r="O4" s="1" t="s">
        <v>4</v>
      </c>
      <c r="P4" s="1" t="s">
        <v>21</v>
      </c>
      <c r="Q4" s="1" t="s">
        <v>24</v>
      </c>
      <c r="R4" s="1" t="s">
        <v>25</v>
      </c>
      <c r="S4" s="1" t="s">
        <v>28</v>
      </c>
      <c r="T4" s="1" t="s">
        <v>32</v>
      </c>
      <c r="U4" s="1" t="s">
        <v>34</v>
      </c>
      <c r="V4" s="1" t="s">
        <v>39</v>
      </c>
      <c r="W4" s="1" t="s">
        <v>38</v>
      </c>
      <c r="X4" s="1" t="s">
        <v>43</v>
      </c>
      <c r="Y4" s="1" t="s">
        <v>46</v>
      </c>
      <c r="Z4" s="1" t="s">
        <v>47</v>
      </c>
      <c r="AA4" s="1" t="s">
        <v>48</v>
      </c>
    </row>
    <row r="5" spans="2:27" x14ac:dyDescent="0.2">
      <c r="C5" s="1">
        <v>0</v>
      </c>
      <c r="D5" s="8">
        <v>0.60499400000000003</v>
      </c>
      <c r="E5" s="8">
        <v>0.292215</v>
      </c>
      <c r="F5" s="8">
        <v>0.90845299999999995</v>
      </c>
      <c r="G5" s="8">
        <v>0.35550599999999999</v>
      </c>
      <c r="H5" s="8">
        <v>0.20166899999999999</v>
      </c>
      <c r="I5" s="8">
        <v>0.57533800000000002</v>
      </c>
      <c r="J5" s="8">
        <v>0.310311</v>
      </c>
      <c r="K5" s="8">
        <v>0.73428099999999996</v>
      </c>
      <c r="L5" s="8">
        <v>7.3987210000000001</v>
      </c>
      <c r="N5">
        <f>MAX(L5:L44)</f>
        <v>9.5984820000000006</v>
      </c>
      <c r="O5">
        <f>MAX(L5:L45)</f>
        <v>9.6810399999999994</v>
      </c>
      <c r="P5">
        <f>MAX(L5:L46)</f>
        <v>9.6810399999999994</v>
      </c>
      <c r="Q5">
        <f>MAX(L5:L47)</f>
        <v>9.6810399999999994</v>
      </c>
      <c r="R5">
        <f>MAX(L5:L48)</f>
        <v>9.8455265164555996</v>
      </c>
      <c r="S5">
        <f>MAX(L5:L49)</f>
        <v>9.8455265164555996</v>
      </c>
      <c r="T5">
        <f>MAX(L5:L50)</f>
        <v>9.8455265164555996</v>
      </c>
      <c r="U5">
        <f>MAX(L5:L51)</f>
        <v>9.8997474044235005</v>
      </c>
      <c r="V5">
        <f>MAX(L5:L52)</f>
        <v>9.8997474044235005</v>
      </c>
      <c r="W5">
        <f>MAX(L5:L53)</f>
        <v>9.9235528027938997</v>
      </c>
      <c r="X5">
        <f>MAX(L5:L54)</f>
        <v>9.9235528027938997</v>
      </c>
      <c r="Y5">
        <f>MAX(L5:L55)</f>
        <v>9.9887644149959005</v>
      </c>
      <c r="Z5">
        <f>MAX(L5:L56)</f>
        <v>9.9887644149959005</v>
      </c>
      <c r="AA5">
        <f>MAX(L5:L57)</f>
        <v>9.9887644149959005</v>
      </c>
    </row>
    <row r="6" spans="2:27" x14ac:dyDescent="0.2">
      <c r="C6" s="1">
        <v>1</v>
      </c>
      <c r="D6" s="8">
        <v>0.178007</v>
      </c>
      <c r="E6" s="8">
        <v>0.56622300000000003</v>
      </c>
      <c r="F6" s="8">
        <v>0.99486200000000002</v>
      </c>
      <c r="G6" s="8">
        <v>0.21032500000000001</v>
      </c>
      <c r="H6" s="8">
        <v>0.32015300000000002</v>
      </c>
      <c r="I6" s="8">
        <v>0.70790900000000001</v>
      </c>
      <c r="J6" s="8">
        <v>0.63538399999999995</v>
      </c>
      <c r="K6" s="8">
        <v>0.10713200000000001</v>
      </c>
      <c r="L6" s="8">
        <v>7.0052269999999996</v>
      </c>
      <c r="M6" t="s">
        <v>45</v>
      </c>
      <c r="O6" s="6">
        <f>(O5-N5)/N5</f>
        <v>8.6011517237828648E-3</v>
      </c>
      <c r="P6" s="6">
        <f t="shared" ref="P6:X6" si="0">(P5-O5)/O5</f>
        <v>0</v>
      </c>
      <c r="Q6" s="6">
        <f t="shared" si="0"/>
        <v>0</v>
      </c>
      <c r="R6" s="6">
        <f t="shared" si="0"/>
        <v>1.6990583290183721E-2</v>
      </c>
      <c r="S6" s="6">
        <f t="shared" si="0"/>
        <v>0</v>
      </c>
      <c r="T6" s="6">
        <f t="shared" si="0"/>
        <v>0</v>
      </c>
      <c r="U6" s="6">
        <f t="shared" si="0"/>
        <v>5.5071598128629594E-3</v>
      </c>
      <c r="V6" s="6">
        <f t="shared" si="0"/>
        <v>0</v>
      </c>
      <c r="W6" s="6">
        <f t="shared" si="0"/>
        <v>2.404647047839042E-3</v>
      </c>
      <c r="X6" s="6">
        <f t="shared" si="0"/>
        <v>0</v>
      </c>
      <c r="Y6" s="6">
        <f t="shared" ref="Y6" si="1">(Y5-X5)/X5</f>
        <v>6.5713977138954658E-3</v>
      </c>
      <c r="Z6" s="6">
        <f t="shared" ref="Z6" si="2">(Z5-Y5)/Y5</f>
        <v>0</v>
      </c>
      <c r="AA6" s="6">
        <f t="shared" ref="AA6" si="3">(AA5-Z5)/Z5</f>
        <v>0</v>
      </c>
    </row>
    <row r="7" spans="2:27" x14ac:dyDescent="0.2">
      <c r="B7" s="5" t="s">
        <v>16</v>
      </c>
      <c r="C7" s="1">
        <v>2</v>
      </c>
      <c r="D7" s="8">
        <v>9.077E-3</v>
      </c>
      <c r="E7" s="8">
        <v>0.81162599999999996</v>
      </c>
      <c r="F7" s="8">
        <v>0.52051999999999998</v>
      </c>
      <c r="G7" s="8">
        <v>7.5687000000000004E-2</v>
      </c>
      <c r="H7" s="8">
        <v>0.26511200000000001</v>
      </c>
      <c r="I7" s="8">
        <v>9.1651999999999997E-2</v>
      </c>
      <c r="J7" s="8">
        <v>0.59241500000000002</v>
      </c>
      <c r="K7" s="8">
        <v>0.36731999999999998</v>
      </c>
      <c r="L7" s="8">
        <v>8.4594819999999995</v>
      </c>
    </row>
    <row r="8" spans="2:27" x14ac:dyDescent="0.2">
      <c r="C8" s="1">
        <v>3</v>
      </c>
      <c r="D8" s="8">
        <v>0.50602800000000003</v>
      </c>
      <c r="E8" s="8">
        <v>0.65373000000000003</v>
      </c>
      <c r="F8" s="8">
        <v>0.36341099999999998</v>
      </c>
      <c r="G8" s="8">
        <v>0.177981</v>
      </c>
      <c r="H8" s="8">
        <v>9.3728000000000006E-2</v>
      </c>
      <c r="I8" s="8">
        <v>0.19742499999999999</v>
      </c>
      <c r="J8" s="8">
        <v>0.75582700000000003</v>
      </c>
      <c r="K8" s="8">
        <v>0.29247200000000001</v>
      </c>
      <c r="L8" s="8">
        <v>8.284008</v>
      </c>
    </row>
    <row r="9" spans="2:27" x14ac:dyDescent="0.2">
      <c r="C9" s="1">
        <v>4</v>
      </c>
      <c r="D9" s="8">
        <v>0.35990899999999998</v>
      </c>
      <c r="E9" s="8">
        <v>0.24907599999999999</v>
      </c>
      <c r="F9" s="8">
        <v>0.49599700000000002</v>
      </c>
      <c r="G9" s="8">
        <v>0.70921500000000004</v>
      </c>
      <c r="H9" s="8">
        <v>0.11498700000000001</v>
      </c>
      <c r="I9" s="8">
        <v>0.28920699999999999</v>
      </c>
      <c r="J9" s="8">
        <v>0.55729499999999998</v>
      </c>
      <c r="K9" s="8">
        <v>0.59388200000000002</v>
      </c>
      <c r="L9" s="8">
        <v>8.6061169999999994</v>
      </c>
    </row>
    <row r="10" spans="2:27" x14ac:dyDescent="0.2">
      <c r="C10" s="1">
        <v>5</v>
      </c>
      <c r="D10" s="8">
        <v>0.77881800000000001</v>
      </c>
      <c r="E10" s="8">
        <v>3.4190000000000002E-3</v>
      </c>
      <c r="F10" s="8">
        <v>0.33798299999999998</v>
      </c>
      <c r="G10" s="8">
        <v>0.51952799999999999</v>
      </c>
      <c r="H10" s="8">
        <v>0.82090700000000005</v>
      </c>
      <c r="I10" s="8">
        <v>0.53724700000000003</v>
      </c>
      <c r="J10" s="8">
        <v>0.55134700000000003</v>
      </c>
      <c r="K10" s="8">
        <v>0.66003199999999995</v>
      </c>
      <c r="L10" s="8">
        <v>8.5417480000000001</v>
      </c>
    </row>
    <row r="11" spans="2:27" x14ac:dyDescent="0.2">
      <c r="C11" s="1">
        <v>6</v>
      </c>
      <c r="D11" s="8">
        <v>0.90864900000000004</v>
      </c>
      <c r="E11" s="8">
        <v>6.225E-2</v>
      </c>
      <c r="F11" s="8">
        <v>0.23826</v>
      </c>
      <c r="G11" s="8">
        <v>0.76660399999999995</v>
      </c>
      <c r="H11" s="8">
        <v>0.13233600000000001</v>
      </c>
      <c r="I11" s="8">
        <v>0.99024400000000001</v>
      </c>
      <c r="J11" s="8">
        <v>0.68806800000000001</v>
      </c>
      <c r="K11" s="8">
        <v>0.74249600000000004</v>
      </c>
      <c r="L11" s="8">
        <v>7.3274350000000004</v>
      </c>
    </row>
    <row r="12" spans="2:27" x14ac:dyDescent="0.2">
      <c r="C12" s="1">
        <v>7</v>
      </c>
      <c r="D12" s="8">
        <v>0.58637099999999998</v>
      </c>
      <c r="E12" s="8">
        <v>0.88073599999999996</v>
      </c>
      <c r="F12" s="8">
        <v>0.74502100000000004</v>
      </c>
      <c r="G12" s="8">
        <v>0.54603500000000005</v>
      </c>
      <c r="H12" s="8">
        <v>9.6489999999999996E-3</v>
      </c>
      <c r="I12" s="8">
        <v>0.74899199999999999</v>
      </c>
      <c r="J12" s="8">
        <v>0.230907</v>
      </c>
      <c r="K12" s="8">
        <v>9.7916000000000003E-2</v>
      </c>
      <c r="L12" s="8">
        <v>7.2998719999999997</v>
      </c>
    </row>
    <row r="13" spans="2:27" x14ac:dyDescent="0.2">
      <c r="C13" s="1">
        <v>8</v>
      </c>
      <c r="D13" s="8">
        <v>0.76113699999999995</v>
      </c>
      <c r="E13" s="8">
        <v>0.85467199999999999</v>
      </c>
      <c r="F13" s="8">
        <v>0.38212400000000002</v>
      </c>
      <c r="G13" s="8">
        <v>0.33735199999999999</v>
      </c>
      <c r="H13" s="8">
        <v>0.68970799999999999</v>
      </c>
      <c r="I13" s="8">
        <v>0.30985299999999999</v>
      </c>
      <c r="J13" s="8">
        <v>0.63138000000000005</v>
      </c>
      <c r="K13" s="8">
        <v>4.1956E-2</v>
      </c>
      <c r="L13" s="8">
        <v>7.9578749999999996</v>
      </c>
    </row>
    <row r="14" spans="2:27" x14ac:dyDescent="0.2">
      <c r="C14" s="1">
        <v>9</v>
      </c>
      <c r="D14" s="8">
        <v>0.98493299999999995</v>
      </c>
      <c r="E14" s="8">
        <v>0.69950599999999996</v>
      </c>
      <c r="F14" s="8">
        <v>0.99888500000000002</v>
      </c>
      <c r="G14" s="8">
        <v>0.180148</v>
      </c>
      <c r="H14" s="8">
        <v>0.58014299999999996</v>
      </c>
      <c r="I14" s="8">
        <v>0.23108699999999999</v>
      </c>
      <c r="J14" s="8">
        <v>0.49082700000000001</v>
      </c>
      <c r="K14" s="8">
        <v>0.31368299999999999</v>
      </c>
      <c r="L14" s="8">
        <v>5.592193</v>
      </c>
    </row>
    <row r="15" spans="2:27" x14ac:dyDescent="0.2">
      <c r="C15" s="1">
        <v>10</v>
      </c>
      <c r="D15" s="8">
        <v>0.112071</v>
      </c>
      <c r="E15" s="8">
        <v>0.43773600000000001</v>
      </c>
      <c r="F15" s="8">
        <v>0.59659899999999999</v>
      </c>
      <c r="G15" s="8">
        <v>0.59277599999999997</v>
      </c>
      <c r="H15" s="8">
        <v>0.22698199999999999</v>
      </c>
      <c r="I15" s="8">
        <v>0.410105</v>
      </c>
      <c r="J15" s="8">
        <v>0.921238</v>
      </c>
      <c r="K15" s="8">
        <v>0.67475300000000005</v>
      </c>
      <c r="L15" s="8">
        <v>7.8545410000000002</v>
      </c>
    </row>
    <row r="16" spans="2:27" x14ac:dyDescent="0.2">
      <c r="C16" s="1">
        <v>11</v>
      </c>
      <c r="D16" s="8">
        <v>0.79188800000000004</v>
      </c>
      <c r="E16" s="8">
        <v>0.57619100000000001</v>
      </c>
      <c r="F16" s="8">
        <v>0.69452800000000003</v>
      </c>
      <c r="G16" s="8">
        <v>0.28342400000000001</v>
      </c>
      <c r="H16" s="8">
        <v>0.13675499999999999</v>
      </c>
      <c r="I16" s="8">
        <v>0.27916200000000002</v>
      </c>
      <c r="J16" s="8">
        <v>0.84276700000000004</v>
      </c>
      <c r="K16" s="8">
        <v>0.62532799999999999</v>
      </c>
      <c r="L16" s="8">
        <v>6.7919859999999996</v>
      </c>
    </row>
    <row r="17" spans="3:12" x14ac:dyDescent="0.2">
      <c r="C17" s="1">
        <v>12</v>
      </c>
      <c r="D17" s="8">
        <v>0.14355000000000001</v>
      </c>
      <c r="E17" s="8">
        <v>0.937415</v>
      </c>
      <c r="F17" s="8">
        <v>0.232325</v>
      </c>
      <c r="G17" s="8">
        <v>9.0430000000000007E-3</v>
      </c>
      <c r="H17" s="8">
        <v>0.41457899999999998</v>
      </c>
      <c r="I17" s="8">
        <v>0.40932499999999999</v>
      </c>
      <c r="J17" s="8">
        <v>0.55377900000000002</v>
      </c>
      <c r="K17" s="8">
        <v>0.205841</v>
      </c>
      <c r="L17" s="8">
        <v>8.9765540000000001</v>
      </c>
    </row>
    <row r="18" spans="3:12" x14ac:dyDescent="0.2">
      <c r="C18" s="1">
        <v>13</v>
      </c>
      <c r="D18" s="8">
        <v>0.76991699999999996</v>
      </c>
      <c r="E18" s="8">
        <v>0.45875899999999997</v>
      </c>
      <c r="F18" s="8">
        <v>0.55900000000000005</v>
      </c>
      <c r="G18" s="8">
        <v>0.694604</v>
      </c>
      <c r="H18" s="8">
        <v>0.50319899999999995</v>
      </c>
      <c r="I18" s="8">
        <v>0.72834600000000005</v>
      </c>
      <c r="J18" s="8">
        <v>0.78425400000000001</v>
      </c>
      <c r="K18" s="8">
        <v>0.66313100000000003</v>
      </c>
      <c r="L18" s="8">
        <v>7.3790829999999996</v>
      </c>
    </row>
    <row r="19" spans="3:12" x14ac:dyDescent="0.2">
      <c r="C19" s="1">
        <v>14</v>
      </c>
      <c r="D19" s="8">
        <v>5.6446999999999997E-2</v>
      </c>
      <c r="E19" s="8">
        <v>6.5956000000000001E-2</v>
      </c>
      <c r="F19" s="8">
        <v>2.2929000000000001E-2</v>
      </c>
      <c r="G19" s="8">
        <v>3.8786000000000001E-2</v>
      </c>
      <c r="H19" s="8">
        <v>0.40393499999999999</v>
      </c>
      <c r="I19" s="8">
        <v>0.80105499999999996</v>
      </c>
      <c r="J19" s="8">
        <v>0.48830699999999999</v>
      </c>
      <c r="K19" s="8">
        <v>0.89308500000000002</v>
      </c>
      <c r="L19" s="8">
        <v>9.5984820000000006</v>
      </c>
    </row>
    <row r="20" spans="3:12" x14ac:dyDescent="0.2">
      <c r="C20" s="1">
        <v>15</v>
      </c>
      <c r="D20" s="8">
        <v>0.86243700000000001</v>
      </c>
      <c r="E20" s="8">
        <v>0.482734</v>
      </c>
      <c r="F20" s="8">
        <v>0.28186899999999998</v>
      </c>
      <c r="G20" s="8">
        <v>0.54410199999999997</v>
      </c>
      <c r="H20" s="8">
        <v>0.88749</v>
      </c>
      <c r="I20" s="8">
        <v>0.38265500000000002</v>
      </c>
      <c r="J20" s="8">
        <v>0.60190200000000005</v>
      </c>
      <c r="K20" s="8">
        <v>0.476462</v>
      </c>
      <c r="L20" s="8">
        <v>8.1599830000000004</v>
      </c>
    </row>
    <row r="21" spans="3:12" x14ac:dyDescent="0.2">
      <c r="C21" s="1">
        <v>16</v>
      </c>
      <c r="D21" s="8">
        <v>0.35151199999999999</v>
      </c>
      <c r="E21" s="8">
        <v>0.59006499999999995</v>
      </c>
      <c r="F21" s="8">
        <v>0.90943600000000002</v>
      </c>
      <c r="G21" s="8">
        <v>0.67840800000000001</v>
      </c>
      <c r="H21" s="8">
        <v>0.21282599999999999</v>
      </c>
      <c r="I21" s="8">
        <v>8.8459999999999997E-2</v>
      </c>
      <c r="J21" s="8">
        <v>0.41015299999999999</v>
      </c>
      <c r="K21" s="8">
        <v>0.19572400000000001</v>
      </c>
      <c r="L21" s="8">
        <v>7.1316240000000004</v>
      </c>
    </row>
    <row r="22" spans="3:12" x14ac:dyDescent="0.2">
      <c r="C22" s="1">
        <v>17</v>
      </c>
      <c r="D22" s="8">
        <v>0.735904</v>
      </c>
      <c r="E22" s="8">
        <v>3.4611999999999997E-2</v>
      </c>
      <c r="F22" s="8">
        <v>0.72802999999999995</v>
      </c>
      <c r="G22" s="8">
        <v>0.147427</v>
      </c>
      <c r="H22" s="8">
        <v>0.29574299999999998</v>
      </c>
      <c r="I22" s="8">
        <v>0.44511699999999998</v>
      </c>
      <c r="J22" s="8">
        <v>0.97518000000000005</v>
      </c>
      <c r="K22" s="8">
        <v>0.37434000000000001</v>
      </c>
      <c r="L22" s="8">
        <v>6.767963</v>
      </c>
    </row>
    <row r="23" spans="3:12" x14ac:dyDescent="0.2">
      <c r="C23" s="1">
        <v>18</v>
      </c>
      <c r="D23" s="8">
        <v>0.68029399999999995</v>
      </c>
      <c r="E23" s="8">
        <v>0.25510500000000003</v>
      </c>
      <c r="F23" s="8">
        <v>0.86218799999999995</v>
      </c>
      <c r="G23" s="8">
        <v>0.13439599999999999</v>
      </c>
      <c r="H23" s="8">
        <v>0.32632899999999998</v>
      </c>
      <c r="I23" s="8">
        <v>0.28790700000000002</v>
      </c>
      <c r="J23" s="8">
        <v>0.43501000000000001</v>
      </c>
      <c r="K23" s="8">
        <v>0.36420000000000002</v>
      </c>
      <c r="L23" s="8">
        <v>7.4337439999999999</v>
      </c>
    </row>
    <row r="24" spans="3:12" x14ac:dyDescent="0.2">
      <c r="C24" s="1">
        <v>19</v>
      </c>
      <c r="D24" s="8">
        <v>4.4329E-2</v>
      </c>
      <c r="E24" s="8">
        <v>1.3580999999999999E-2</v>
      </c>
      <c r="F24" s="8">
        <v>0.25819799999999998</v>
      </c>
      <c r="G24" s="8">
        <v>0.57764400000000005</v>
      </c>
      <c r="H24" s="8">
        <v>5.1279999999999999E-2</v>
      </c>
      <c r="I24" s="8">
        <v>0.15856300000000001</v>
      </c>
      <c r="J24" s="8">
        <v>0.59103000000000006</v>
      </c>
      <c r="K24" s="8">
        <v>7.7952999999999995E-2</v>
      </c>
      <c r="L24" s="8">
        <v>9.0130750000000006</v>
      </c>
    </row>
    <row r="25" spans="3:12" x14ac:dyDescent="0.2">
      <c r="C25" s="1">
        <v>20</v>
      </c>
      <c r="D25" s="8">
        <v>0.77834499999999995</v>
      </c>
      <c r="E25" s="8">
        <v>0.75114599999999998</v>
      </c>
      <c r="F25" s="8">
        <v>0.31414199999999998</v>
      </c>
      <c r="G25" s="8">
        <v>0.90298599999999996</v>
      </c>
      <c r="H25" s="8">
        <v>0.33538200000000001</v>
      </c>
      <c r="I25" s="8">
        <v>0.38632300000000003</v>
      </c>
      <c r="J25" s="8">
        <v>0.74897199999999997</v>
      </c>
      <c r="K25" s="8">
        <v>0.98875500000000005</v>
      </c>
      <c r="L25" s="8">
        <v>7.3108940000000002</v>
      </c>
    </row>
    <row r="26" spans="3:12" x14ac:dyDescent="0.2">
      <c r="C26" s="1">
        <v>21</v>
      </c>
      <c r="D26" s="8">
        <v>0.89888699999999999</v>
      </c>
      <c r="E26" s="8">
        <v>0.52364200000000005</v>
      </c>
      <c r="F26" s="8">
        <v>0.87678299999999998</v>
      </c>
      <c r="G26" s="8">
        <v>0.218696</v>
      </c>
      <c r="H26" s="8">
        <v>0.90026099999999998</v>
      </c>
      <c r="I26" s="8">
        <v>0.28276600000000002</v>
      </c>
      <c r="J26" s="8">
        <v>0.91107800000000005</v>
      </c>
      <c r="K26" s="8">
        <v>0.47239799999999998</v>
      </c>
      <c r="L26" s="8">
        <v>5.8410669999999998</v>
      </c>
    </row>
    <row r="27" spans="3:12" x14ac:dyDescent="0.2">
      <c r="C27" s="1">
        <v>22</v>
      </c>
      <c r="D27" s="8">
        <v>0.14512</v>
      </c>
      <c r="E27" s="8">
        <v>0.119328</v>
      </c>
      <c r="F27" s="8">
        <v>0.42088799999999998</v>
      </c>
      <c r="G27" s="8">
        <v>0.38760899999999998</v>
      </c>
      <c r="H27" s="8">
        <v>0.15542300000000001</v>
      </c>
      <c r="I27" s="8">
        <v>0.87517199999999995</v>
      </c>
      <c r="J27" s="8">
        <v>0.51056000000000001</v>
      </c>
      <c r="K27" s="8">
        <v>0.72861100000000001</v>
      </c>
      <c r="L27" s="8">
        <v>9.1416389999999996</v>
      </c>
    </row>
    <row r="28" spans="3:12" x14ac:dyDescent="0.2">
      <c r="C28" s="1">
        <v>23</v>
      </c>
      <c r="D28" s="8">
        <v>0.33895399999999998</v>
      </c>
      <c r="E28" s="8">
        <v>0.56693199999999999</v>
      </c>
      <c r="F28" s="8">
        <v>0.376751</v>
      </c>
      <c r="G28" s="8">
        <v>9.8916000000000004E-2</v>
      </c>
      <c r="H28" s="8">
        <v>0.65945200000000004</v>
      </c>
      <c r="I28" s="8">
        <v>0.24554799999999999</v>
      </c>
      <c r="J28" s="8">
        <v>0.76248300000000002</v>
      </c>
      <c r="K28" s="8">
        <v>0.73215300000000005</v>
      </c>
      <c r="L28" s="8">
        <v>8.817558</v>
      </c>
    </row>
    <row r="29" spans="3:12" x14ac:dyDescent="0.2">
      <c r="C29" s="1">
        <v>24</v>
      </c>
      <c r="D29" s="8">
        <v>0.17615</v>
      </c>
      <c r="E29" s="8">
        <v>0.29396099999999997</v>
      </c>
      <c r="F29" s="8">
        <v>0.97567999999999999</v>
      </c>
      <c r="G29" s="8">
        <v>0.79393599999999998</v>
      </c>
      <c r="H29" s="8">
        <v>0.92340100000000003</v>
      </c>
      <c r="I29" s="8">
        <v>3.0842000000000001E-2</v>
      </c>
      <c r="J29" s="8">
        <v>0.80325500000000005</v>
      </c>
      <c r="K29" s="8">
        <v>0.59589800000000004</v>
      </c>
      <c r="L29" s="8">
        <v>6.451943</v>
      </c>
    </row>
    <row r="30" spans="3:12" x14ac:dyDescent="0.2">
      <c r="C30" s="1">
        <v>25</v>
      </c>
      <c r="D30" s="8">
        <v>2.8947000000000001E-2</v>
      </c>
      <c r="E30" s="8">
        <v>2.8278999999999999E-2</v>
      </c>
      <c r="F30" s="8">
        <v>0.48137200000000002</v>
      </c>
      <c r="G30" s="8">
        <v>0.61317500000000003</v>
      </c>
      <c r="H30" s="8">
        <v>0.67266000000000004</v>
      </c>
      <c r="I30" s="8">
        <v>2.2113000000000001E-2</v>
      </c>
      <c r="J30" s="8">
        <v>0.60148299999999999</v>
      </c>
      <c r="K30" s="8">
        <v>0.52488500000000005</v>
      </c>
      <c r="L30" s="8">
        <v>8.8307450000000003</v>
      </c>
    </row>
    <row r="31" spans="3:12" x14ac:dyDescent="0.2">
      <c r="C31" s="1">
        <v>26</v>
      </c>
      <c r="D31" s="8">
        <v>0.19264000000000001</v>
      </c>
      <c r="E31" s="8">
        <v>0.63067700000000004</v>
      </c>
      <c r="F31" s="8">
        <v>0.416796</v>
      </c>
      <c r="G31" s="8">
        <v>0.49052899999999999</v>
      </c>
      <c r="H31" s="8">
        <v>0.79608599999999996</v>
      </c>
      <c r="I31" s="8">
        <v>0.65456700000000001</v>
      </c>
      <c r="J31" s="8">
        <v>0.27624100000000001</v>
      </c>
      <c r="K31" s="8">
        <v>0.295518</v>
      </c>
      <c r="L31" s="8">
        <v>9.3442740000000004</v>
      </c>
    </row>
    <row r="32" spans="3:12" x14ac:dyDescent="0.2">
      <c r="C32" s="1">
        <v>27</v>
      </c>
      <c r="D32" s="8">
        <v>0.94318500000000005</v>
      </c>
      <c r="E32" s="8">
        <v>0.21885099999999999</v>
      </c>
      <c r="F32" s="8">
        <v>0.72118400000000005</v>
      </c>
      <c r="G32" s="8">
        <v>0.424597</v>
      </c>
      <c r="H32" s="8">
        <v>0.98690199999999995</v>
      </c>
      <c r="I32" s="8">
        <v>0.53518299999999996</v>
      </c>
      <c r="J32" s="8">
        <v>0.71474300000000002</v>
      </c>
      <c r="K32" s="8">
        <v>0.960094</v>
      </c>
      <c r="L32" s="8">
        <v>6.8878459999999997</v>
      </c>
    </row>
    <row r="33" spans="3:12" x14ac:dyDescent="0.2">
      <c r="C33" s="1">
        <v>28</v>
      </c>
      <c r="D33" s="8">
        <v>0.532721</v>
      </c>
      <c r="E33" s="8">
        <v>0.83369300000000002</v>
      </c>
      <c r="F33" s="8">
        <v>7.1399000000000004E-2</v>
      </c>
      <c r="G33" s="8">
        <v>0.116811</v>
      </c>
      <c r="H33" s="8">
        <v>0.73069300000000004</v>
      </c>
      <c r="I33" s="8">
        <v>0.93737599999999999</v>
      </c>
      <c r="J33" s="8">
        <v>0.86650799999999994</v>
      </c>
      <c r="K33" s="8">
        <v>0.12790199999999999</v>
      </c>
      <c r="L33" s="8">
        <v>8.0422130000000003</v>
      </c>
    </row>
    <row r="34" spans="3:12" x14ac:dyDescent="0.2">
      <c r="C34" s="1">
        <v>29</v>
      </c>
      <c r="D34" s="8">
        <v>0.44709599999999999</v>
      </c>
      <c r="E34" s="8">
        <v>0.84395299999999995</v>
      </c>
      <c r="F34" s="8">
        <v>0.72954600000000003</v>
      </c>
      <c r="G34" s="8">
        <v>0.63915100000000002</v>
      </c>
      <c r="H34" s="8">
        <v>0.40928700000000001</v>
      </c>
      <c r="I34" s="8">
        <v>0.13264599999999999</v>
      </c>
      <c r="J34" s="8">
        <v>3.5909000000000003E-2</v>
      </c>
      <c r="K34" s="8">
        <v>0.44683800000000001</v>
      </c>
      <c r="L34" s="8">
        <v>7.6923680000000001</v>
      </c>
    </row>
    <row r="35" spans="3:12" x14ac:dyDescent="0.2">
      <c r="C35" s="1">
        <v>30</v>
      </c>
      <c r="D35" s="8">
        <v>0.38222499999999998</v>
      </c>
      <c r="E35" s="8">
        <v>0.55713599999999996</v>
      </c>
      <c r="F35" s="8">
        <v>0.85310200000000003</v>
      </c>
      <c r="G35" s="8">
        <v>0.33379599999999998</v>
      </c>
      <c r="H35" s="8">
        <v>0.26572099999999998</v>
      </c>
      <c r="I35" s="8">
        <v>0.48087299999999999</v>
      </c>
      <c r="J35" s="8">
        <v>0.237647</v>
      </c>
      <c r="K35" s="8">
        <v>0.76863199999999998</v>
      </c>
      <c r="L35" s="8">
        <v>7.9237590000000004</v>
      </c>
    </row>
    <row r="36" spans="3:12" x14ac:dyDescent="0.2">
      <c r="C36" s="1">
        <v>31</v>
      </c>
      <c r="D36" s="8">
        <v>0.53281999999999996</v>
      </c>
      <c r="E36" s="8">
        <v>0.86230799999999996</v>
      </c>
      <c r="F36" s="8">
        <v>0.53826700000000005</v>
      </c>
      <c r="G36" s="8">
        <v>4.9443000000000001E-2</v>
      </c>
      <c r="H36" s="8">
        <v>0.71970100000000004</v>
      </c>
      <c r="I36" s="8">
        <v>0.90670600000000001</v>
      </c>
      <c r="J36" s="8">
        <v>0.10823099999999999</v>
      </c>
      <c r="K36" s="8">
        <v>0.52534800000000004</v>
      </c>
      <c r="L36" s="8">
        <v>8.4217589999999998</v>
      </c>
    </row>
    <row r="37" spans="3:12" x14ac:dyDescent="0.2">
      <c r="C37" s="1">
        <v>32</v>
      </c>
      <c r="D37" s="8">
        <v>0.39486500000000002</v>
      </c>
      <c r="E37" s="8">
        <v>0.33180199999999999</v>
      </c>
      <c r="F37" s="8">
        <v>0.74075400000000002</v>
      </c>
      <c r="G37" s="8">
        <v>0.69786199999999998</v>
      </c>
      <c r="H37" s="8">
        <v>0.73740399999999995</v>
      </c>
      <c r="I37" s="8">
        <v>0.78377699999999995</v>
      </c>
      <c r="J37" s="8">
        <v>0.25449500000000003</v>
      </c>
      <c r="K37" s="8">
        <v>0.87114599999999998</v>
      </c>
      <c r="L37" s="8">
        <v>8.2780620000000003</v>
      </c>
    </row>
    <row r="38" spans="3:12" x14ac:dyDescent="0.2">
      <c r="C38" s="1">
        <v>33</v>
      </c>
      <c r="D38" s="8">
        <v>0.98594499999999996</v>
      </c>
      <c r="E38" s="8">
        <v>0.873054</v>
      </c>
      <c r="F38" s="8">
        <v>7.0392999999999997E-2</v>
      </c>
      <c r="G38" s="8">
        <v>5.3587000000000003E-2</v>
      </c>
      <c r="H38" s="8">
        <v>0.73415300000000006</v>
      </c>
      <c r="I38" s="8">
        <v>0.52025900000000003</v>
      </c>
      <c r="J38" s="8">
        <v>0.81103999999999998</v>
      </c>
      <c r="K38" s="8">
        <v>0.10335999999999999</v>
      </c>
      <c r="L38" s="8">
        <v>7.1134570000000004</v>
      </c>
    </row>
    <row r="39" spans="3:12" x14ac:dyDescent="0.2">
      <c r="C39" s="1">
        <v>34</v>
      </c>
      <c r="D39" s="8">
        <v>0.96457300000000001</v>
      </c>
      <c r="E39" s="8">
        <v>0.97397999999999996</v>
      </c>
      <c r="F39" s="8">
        <v>0.66375300000000004</v>
      </c>
      <c r="G39" s="8">
        <v>0.66221600000000003</v>
      </c>
      <c r="H39" s="8">
        <v>0.673122</v>
      </c>
      <c r="I39" s="8">
        <v>0.90523799999999999</v>
      </c>
      <c r="J39" s="8">
        <v>0.45887499999999998</v>
      </c>
      <c r="K39" s="8">
        <v>0.56091800000000003</v>
      </c>
      <c r="L39" s="8">
        <v>6.4025879999999997</v>
      </c>
    </row>
    <row r="40" spans="3:12" x14ac:dyDescent="0.2">
      <c r="C40" s="1">
        <v>35</v>
      </c>
      <c r="D40" s="8">
        <v>0.47207100000000002</v>
      </c>
      <c r="E40" s="8">
        <v>0.16820299999999999</v>
      </c>
      <c r="F40" s="8">
        <v>8.6428000000000005E-2</v>
      </c>
      <c r="G40" s="8">
        <v>0.452656</v>
      </c>
      <c r="H40" s="8">
        <v>0.48061900000000002</v>
      </c>
      <c r="I40" s="8">
        <v>0.62243899999999996</v>
      </c>
      <c r="J40" s="8">
        <v>0.92897399999999997</v>
      </c>
      <c r="K40" s="8">
        <v>0.112536</v>
      </c>
      <c r="L40" s="8">
        <v>8.4729360000000007</v>
      </c>
    </row>
    <row r="41" spans="3:12" x14ac:dyDescent="0.2">
      <c r="C41" s="1">
        <v>36</v>
      </c>
      <c r="D41" s="8">
        <v>0.85600699999999996</v>
      </c>
      <c r="E41" s="8">
        <v>0.63889399999999996</v>
      </c>
      <c r="F41" s="8">
        <v>0.32619199999999998</v>
      </c>
      <c r="G41" s="8">
        <v>0.66850299999999996</v>
      </c>
      <c r="H41" s="8">
        <v>0.24029800000000001</v>
      </c>
      <c r="I41" s="8">
        <v>0.21029900000000001</v>
      </c>
      <c r="J41" s="8">
        <v>0.167546</v>
      </c>
      <c r="K41" s="8">
        <v>0.96358999999999995</v>
      </c>
      <c r="L41" s="8">
        <v>7.9776850000000001</v>
      </c>
    </row>
    <row r="42" spans="3:12" x14ac:dyDescent="0.2">
      <c r="C42" s="1">
        <v>37</v>
      </c>
      <c r="D42" s="8">
        <v>0.81003199999999997</v>
      </c>
      <c r="E42" s="8">
        <v>0.635046</v>
      </c>
      <c r="F42" s="8">
        <v>0.26954800000000001</v>
      </c>
      <c r="G42" s="8">
        <v>0.86960499999999996</v>
      </c>
      <c r="H42" s="8">
        <v>0.66192200000000001</v>
      </c>
      <c r="I42" s="8">
        <v>0.25225900000000001</v>
      </c>
      <c r="J42" s="8">
        <v>0.76566999999999996</v>
      </c>
      <c r="K42" s="8">
        <v>0.89054900000000004</v>
      </c>
      <c r="L42" s="8">
        <v>7.4608720000000002</v>
      </c>
    </row>
    <row r="43" spans="3:12" x14ac:dyDescent="0.2">
      <c r="C43" s="1">
        <v>38</v>
      </c>
      <c r="D43" s="8">
        <v>0.79625299999999999</v>
      </c>
      <c r="E43" s="8">
        <v>7.0369999999999999E-3</v>
      </c>
      <c r="F43" s="8">
        <v>0.35569699999999999</v>
      </c>
      <c r="G43" s="8">
        <v>0.487566</v>
      </c>
      <c r="H43" s="8">
        <v>0.74051999999999996</v>
      </c>
      <c r="I43" s="8">
        <v>0.70665</v>
      </c>
      <c r="J43" s="8">
        <v>0.99291399999999996</v>
      </c>
      <c r="K43" s="8">
        <v>0.38173400000000002</v>
      </c>
      <c r="L43" s="8">
        <v>7.4365940000000004</v>
      </c>
    </row>
    <row r="44" spans="3:12" x14ac:dyDescent="0.2">
      <c r="C44" s="1">
        <v>39</v>
      </c>
      <c r="D44" s="8">
        <v>0.48124499999999998</v>
      </c>
      <c r="E44" s="8">
        <v>0.102461</v>
      </c>
      <c r="F44" s="8">
        <v>0.21948599999999999</v>
      </c>
      <c r="G44" s="8">
        <v>0.67732199999999998</v>
      </c>
      <c r="H44" s="8">
        <v>0.24750900000000001</v>
      </c>
      <c r="I44" s="8">
        <v>0.244341</v>
      </c>
      <c r="J44" s="8">
        <v>0.163825</v>
      </c>
      <c r="K44" s="8">
        <v>0.71596199999999999</v>
      </c>
      <c r="L44" s="8">
        <v>9.1830049999999996</v>
      </c>
    </row>
    <row r="45" spans="3:12" x14ac:dyDescent="0.2">
      <c r="C45" s="1">
        <v>40</v>
      </c>
      <c r="D45" s="7">
        <v>0.05</v>
      </c>
      <c r="E45" s="7">
        <v>0.05</v>
      </c>
      <c r="F45" s="7">
        <v>0.05</v>
      </c>
      <c r="G45" s="7">
        <v>0.05</v>
      </c>
      <c r="H45" s="7">
        <v>0.43</v>
      </c>
      <c r="I45" s="7" t="s">
        <v>17</v>
      </c>
      <c r="J45" s="7">
        <v>0.43</v>
      </c>
      <c r="K45" s="7">
        <v>0.81</v>
      </c>
      <c r="L45" s="7">
        <v>9.6810399999999994</v>
      </c>
    </row>
    <row r="46" spans="3:12" x14ac:dyDescent="0.2">
      <c r="C46" s="1">
        <v>41</v>
      </c>
      <c r="D46" s="7">
        <v>9.3073000000000003E-2</v>
      </c>
      <c r="E46" s="7">
        <v>0.12230000000000001</v>
      </c>
      <c r="F46" s="7">
        <v>2.2769999999999999E-3</v>
      </c>
      <c r="G46" s="7">
        <v>1.717E-3</v>
      </c>
      <c r="H46" s="7">
        <v>0.44378899999999999</v>
      </c>
      <c r="I46" s="7">
        <v>0.76749599999999996</v>
      </c>
      <c r="J46" s="7">
        <v>0.44482100000000002</v>
      </c>
      <c r="K46" s="7">
        <v>0.825434</v>
      </c>
      <c r="L46" s="7">
        <v>9.6682554598719008</v>
      </c>
    </row>
    <row r="47" spans="3:12" x14ac:dyDescent="0.2">
      <c r="C47" s="1">
        <v>42</v>
      </c>
      <c r="D47" s="7">
        <v>0.20336899999999999</v>
      </c>
      <c r="E47" s="7">
        <v>0.19946</v>
      </c>
      <c r="F47" s="7">
        <v>5.5809999999999998E-2</v>
      </c>
      <c r="G47" s="7">
        <v>4.1079999999999998E-2</v>
      </c>
      <c r="H47" s="7">
        <v>0.99255099999999996</v>
      </c>
      <c r="I47" s="7">
        <v>4.8233999999999999E-2</v>
      </c>
      <c r="J47" s="7">
        <v>2.3335000000000002E-2</v>
      </c>
      <c r="K47" s="7">
        <v>0.121281</v>
      </c>
      <c r="L47" s="7">
        <v>9.6398386782753995</v>
      </c>
    </row>
    <row r="48" spans="3:12" x14ac:dyDescent="0.2">
      <c r="C48" s="1">
        <v>43</v>
      </c>
      <c r="D48" s="7">
        <v>7.2890000000000003E-3</v>
      </c>
      <c r="E48" s="7">
        <v>0.21682000000000001</v>
      </c>
      <c r="F48" s="7">
        <v>9.9319999999999999E-3</v>
      </c>
      <c r="G48" s="7">
        <v>0.28886800000000001</v>
      </c>
      <c r="H48" s="7">
        <v>0.73582099999999995</v>
      </c>
      <c r="I48" s="7">
        <v>0.32980500000000001</v>
      </c>
      <c r="J48" s="7">
        <v>8.8330000000000006E-2</v>
      </c>
      <c r="K48" s="7">
        <v>0.97839699999999996</v>
      </c>
      <c r="L48" s="7">
        <v>9.8455265164555996</v>
      </c>
    </row>
    <row r="49" spans="3:12" x14ac:dyDescent="0.2">
      <c r="C49" s="1">
        <v>44</v>
      </c>
      <c r="D49" s="7">
        <v>0.13802</v>
      </c>
      <c r="E49" s="7">
        <v>0.219998</v>
      </c>
      <c r="F49" s="7">
        <v>5.8469E-2</v>
      </c>
      <c r="G49" s="7">
        <v>0.96029600000000004</v>
      </c>
      <c r="H49" s="7">
        <v>0.87240300000000004</v>
      </c>
      <c r="I49" s="7">
        <v>0.982178</v>
      </c>
      <c r="J49" s="7" t="s">
        <v>30</v>
      </c>
      <c r="K49" s="7">
        <v>7.0507E-2</v>
      </c>
      <c r="L49" s="7">
        <v>9.0059528117416008</v>
      </c>
    </row>
    <row r="50" spans="3:12" x14ac:dyDescent="0.2">
      <c r="C50" s="1">
        <v>45</v>
      </c>
      <c r="D50" s="7">
        <v>6.6759999999999996E-3</v>
      </c>
      <c r="E50" s="7">
        <v>0.14285</v>
      </c>
      <c r="F50" s="7">
        <v>1.4612E-2</v>
      </c>
      <c r="G50" s="7">
        <v>8.4930000000000005E-3</v>
      </c>
      <c r="H50" s="7">
        <v>1.3195E-2</v>
      </c>
      <c r="I50" s="7">
        <v>2.9041000000000001E-2</v>
      </c>
      <c r="J50" s="7">
        <v>0.14605199999999999</v>
      </c>
      <c r="K50" s="7">
        <v>0.70904500000000004</v>
      </c>
      <c r="L50" s="7">
        <v>9.3842194485629999</v>
      </c>
    </row>
    <row r="51" spans="3:12" x14ac:dyDescent="0.2">
      <c r="C51" s="1">
        <v>46</v>
      </c>
      <c r="D51" s="7">
        <v>1.4396000000000001E-2</v>
      </c>
      <c r="E51" s="7">
        <v>0.15657199999999999</v>
      </c>
      <c r="F51" s="7">
        <v>3.6172000000000003E-2</v>
      </c>
      <c r="G51" s="7">
        <v>0.30302000000000001</v>
      </c>
      <c r="H51" s="7">
        <v>0.78578000000000003</v>
      </c>
      <c r="I51" s="7">
        <v>0.31301600000000002</v>
      </c>
      <c r="J51" s="7" t="s">
        <v>35</v>
      </c>
      <c r="K51" s="7">
        <v>0.54389500000000002</v>
      </c>
      <c r="L51" s="7">
        <v>9.8997474044235005</v>
      </c>
    </row>
    <row r="52" spans="3:12" x14ac:dyDescent="0.2">
      <c r="C52" s="1">
        <v>47</v>
      </c>
      <c r="D52" s="7">
        <v>7.7029E-2</v>
      </c>
      <c r="E52" s="7">
        <v>0.211423</v>
      </c>
      <c r="F52" s="7">
        <v>2.4937999999999998E-2</v>
      </c>
      <c r="G52" s="7">
        <v>0.360429</v>
      </c>
      <c r="H52" s="7">
        <v>0.41299200000000003</v>
      </c>
      <c r="I52" s="7" t="s">
        <v>41</v>
      </c>
      <c r="J52" s="7">
        <v>2.0931999999999999E-2</v>
      </c>
      <c r="K52" s="7">
        <v>0.64757699999999996</v>
      </c>
      <c r="L52" s="7">
        <v>9.7301737067940994</v>
      </c>
    </row>
    <row r="53" spans="3:12" x14ac:dyDescent="0.2">
      <c r="C53" s="1">
        <v>48</v>
      </c>
      <c r="D53" s="7">
        <v>4.2444999999999997E-2</v>
      </c>
      <c r="E53" s="7">
        <v>5.1646999999999998E-2</v>
      </c>
      <c r="F53" s="7">
        <v>5.0686000000000002E-2</v>
      </c>
      <c r="G53" s="7">
        <v>7.6564999999999994E-2</v>
      </c>
      <c r="H53" s="7">
        <v>0.91697700000000004</v>
      </c>
      <c r="I53" s="7">
        <v>0.60068999999999995</v>
      </c>
      <c r="J53" s="7">
        <v>0.11106199999999999</v>
      </c>
      <c r="K53" s="7">
        <v>0.77560399999999996</v>
      </c>
      <c r="L53" s="7">
        <v>9.9235528027938997</v>
      </c>
    </row>
    <row r="54" spans="3:12" x14ac:dyDescent="0.2">
      <c r="C54" s="1">
        <v>49</v>
      </c>
      <c r="D54" s="7">
        <v>2.2224000000000001E-2</v>
      </c>
      <c r="E54" s="7">
        <v>0.59323499999999996</v>
      </c>
      <c r="F54" s="7">
        <v>1.3521999999999999E-2</v>
      </c>
      <c r="G54" s="7">
        <v>8.9015999999999998E-2</v>
      </c>
      <c r="H54" s="7">
        <v>0.93212200000000001</v>
      </c>
      <c r="I54" s="7">
        <v>0.23639099999999999</v>
      </c>
      <c r="J54" s="7">
        <v>0.20014799999999999</v>
      </c>
      <c r="K54" s="7">
        <v>0.79655100000000001</v>
      </c>
      <c r="L54" s="7">
        <v>9.6649430110238992</v>
      </c>
    </row>
    <row r="55" spans="3:12" x14ac:dyDescent="0.2">
      <c r="C55" s="1">
        <v>50</v>
      </c>
      <c r="D55" s="7">
        <v>9.1920000000000002E-2</v>
      </c>
      <c r="E55" s="7">
        <v>0.20374800000000001</v>
      </c>
      <c r="F55" s="7">
        <v>9.8470000000000002E-2</v>
      </c>
      <c r="G55" s="7">
        <v>0.166686</v>
      </c>
      <c r="H55" s="7">
        <v>0.73230399999999995</v>
      </c>
      <c r="I55" s="7">
        <v>0.51622000000000001</v>
      </c>
      <c r="J55" s="7">
        <v>0.225742</v>
      </c>
      <c r="K55" s="7">
        <v>0.70370900000000003</v>
      </c>
      <c r="L55" s="7">
        <v>9.9887644149959005</v>
      </c>
    </row>
    <row r="56" spans="3:12" x14ac:dyDescent="0.2">
      <c r="C56" s="1">
        <v>51</v>
      </c>
      <c r="D56" s="7">
        <v>8.5097000000000006E-2</v>
      </c>
      <c r="E56" s="7">
        <v>0.20527000000000001</v>
      </c>
      <c r="F56" s="7">
        <v>0.14978900000000001</v>
      </c>
      <c r="G56" s="7">
        <v>0.14885599999999999</v>
      </c>
      <c r="H56" s="7">
        <v>0.66531499999999999</v>
      </c>
      <c r="I56" s="7">
        <v>0.51586799999999999</v>
      </c>
      <c r="J56" s="7">
        <v>0.211622</v>
      </c>
      <c r="K56" s="7">
        <v>0.68971000000000005</v>
      </c>
      <c r="L56" s="7">
        <v>9.9849281577685005</v>
      </c>
    </row>
    <row r="57" spans="3:12" x14ac:dyDescent="0.2">
      <c r="C57" s="1">
        <v>52</v>
      </c>
      <c r="D57" s="7">
        <v>9.1143000000000002E-2</v>
      </c>
      <c r="E57" s="7">
        <v>0.246147</v>
      </c>
      <c r="F57" s="7">
        <v>0.11862300000000001</v>
      </c>
      <c r="G57" s="7">
        <v>0.14505000000000001</v>
      </c>
      <c r="H57" s="7">
        <v>0.69983200000000001</v>
      </c>
      <c r="I57" s="7">
        <v>0.50370400000000004</v>
      </c>
      <c r="J57" s="7">
        <v>0.18756500000000001</v>
      </c>
      <c r="K57" s="7">
        <v>0.67893499999999996</v>
      </c>
      <c r="L57" s="7">
        <v>9.9842231850055008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Ede</dc:creator>
  <cp:lastModifiedBy>Elliot Ede</cp:lastModifiedBy>
  <dcterms:created xsi:type="dcterms:W3CDTF">2025-12-03T11:31:37Z</dcterms:created>
  <dcterms:modified xsi:type="dcterms:W3CDTF">2026-03-25T21:47:41Z</dcterms:modified>
</cp:coreProperties>
</file>